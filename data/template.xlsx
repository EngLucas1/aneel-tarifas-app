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Z:\Tarifas\2026\"/>
    </mc:Choice>
  </mc:AlternateContent>
  <xr:revisionPtr revIDLastSave="0" documentId="13_ncr:1_{3A24B232-DD2E-4029-B699-98B2F43EA22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rifas e Resoluções" sheetId="1" r:id="rId1"/>
    <sheet name="Perfil dos Reajustes" sheetId="2" r:id="rId2"/>
    <sheet name="Tarifas Ponta Cativo" sheetId="4" r:id="rId3"/>
    <sheet name="Tarifas Ponta Livre" sheetId="5" r:id="rId4"/>
    <sheet name="Tarifas Energia" sheetId="7" r:id="rId5"/>
    <sheet name="Rascunho" sheetId="3" r:id="rId6"/>
    <sheet name="Planilha6" sheetId="6" r:id="rId7"/>
  </sheets>
  <definedNames>
    <definedName name="_xlnm._FilterDatabase" localSheetId="4" hidden="1">'Tarifas Energia'!$R$4:$T$4</definedName>
    <definedName name="_xlnm._FilterDatabase" localSheetId="3" hidden="1">'Tarifas Ponta Livre'!$L$5:$N$5</definedName>
    <definedName name="_xlnm.Print_Area" localSheetId="4">'Tarifas Energia'!$R$2:$T$44</definedName>
    <definedName name="_xlnm.Print_Area" localSheetId="2">'Tarifas Ponta Cativo'!$L$2:$N$43</definedName>
    <definedName name="_xlnm.Print_Area" localSheetId="3">'Tarifas Ponta Livre'!$L$3:$N$20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7" l="1"/>
  <c r="N44" i="7" s="1"/>
  <c r="K44" i="7"/>
  <c r="L44" i="7" s="1"/>
  <c r="H44" i="7"/>
  <c r="I44" i="7" s="1"/>
  <c r="F44" i="7"/>
  <c r="G44" i="7" s="1"/>
  <c r="E44" i="7"/>
  <c r="D44" i="7"/>
  <c r="B44" i="7"/>
  <c r="M43" i="7"/>
  <c r="N43" i="7" s="1"/>
  <c r="K43" i="7"/>
  <c r="L43" i="7" s="1"/>
  <c r="H43" i="7"/>
  <c r="I43" i="7" s="1"/>
  <c r="F43" i="7"/>
  <c r="G43" i="7" s="1"/>
  <c r="E43" i="7"/>
  <c r="D43" i="7"/>
  <c r="B43" i="7"/>
  <c r="M42" i="7"/>
  <c r="N42" i="7" s="1"/>
  <c r="K42" i="7"/>
  <c r="L42" i="7" s="1"/>
  <c r="H42" i="7"/>
  <c r="I42" i="7" s="1"/>
  <c r="F42" i="7"/>
  <c r="G42" i="7" s="1"/>
  <c r="E42" i="7"/>
  <c r="D42" i="7"/>
  <c r="B42" i="7"/>
  <c r="M41" i="7"/>
  <c r="N41" i="7" s="1"/>
  <c r="K41" i="7"/>
  <c r="L41" i="7" s="1"/>
  <c r="H41" i="7"/>
  <c r="I41" i="7" s="1"/>
  <c r="F41" i="7"/>
  <c r="G41" i="7" s="1"/>
  <c r="E41" i="7"/>
  <c r="D41" i="7"/>
  <c r="B41" i="7"/>
  <c r="M40" i="7"/>
  <c r="N40" i="7" s="1"/>
  <c r="K40" i="7"/>
  <c r="L40" i="7" s="1"/>
  <c r="H40" i="7"/>
  <c r="I40" i="7" s="1"/>
  <c r="F40" i="7"/>
  <c r="G40" i="7" s="1"/>
  <c r="E40" i="7"/>
  <c r="D40" i="7"/>
  <c r="B40" i="7"/>
  <c r="M39" i="7"/>
  <c r="N39" i="7" s="1"/>
  <c r="K39" i="7"/>
  <c r="L39" i="7" s="1"/>
  <c r="H39" i="7"/>
  <c r="I39" i="7" s="1"/>
  <c r="F39" i="7"/>
  <c r="G39" i="7" s="1"/>
  <c r="E39" i="7"/>
  <c r="D39" i="7"/>
  <c r="B39" i="7"/>
  <c r="M38" i="7"/>
  <c r="N38" i="7" s="1"/>
  <c r="K38" i="7"/>
  <c r="L38" i="7" s="1"/>
  <c r="H38" i="7"/>
  <c r="I38" i="7" s="1"/>
  <c r="F38" i="7"/>
  <c r="G38" i="7" s="1"/>
  <c r="E38" i="7"/>
  <c r="D38" i="7"/>
  <c r="B38" i="7"/>
  <c r="M37" i="7"/>
  <c r="N37" i="7" s="1"/>
  <c r="K37" i="7"/>
  <c r="L37" i="7" s="1"/>
  <c r="H37" i="7"/>
  <c r="I37" i="7" s="1"/>
  <c r="F37" i="7"/>
  <c r="G37" i="7" s="1"/>
  <c r="E37" i="7"/>
  <c r="D37" i="7"/>
  <c r="B37" i="7"/>
  <c r="M36" i="7"/>
  <c r="N36" i="7" s="1"/>
  <c r="K36" i="7"/>
  <c r="L36" i="7" s="1"/>
  <c r="H36" i="7"/>
  <c r="I36" i="7" s="1"/>
  <c r="F36" i="7"/>
  <c r="G36" i="7" s="1"/>
  <c r="E36" i="7"/>
  <c r="D36" i="7"/>
  <c r="B36" i="7"/>
  <c r="M35" i="7"/>
  <c r="N35" i="7" s="1"/>
  <c r="K35" i="7"/>
  <c r="L35" i="7" s="1"/>
  <c r="H35" i="7"/>
  <c r="I35" i="7" s="1"/>
  <c r="F35" i="7"/>
  <c r="G35" i="7" s="1"/>
  <c r="E35" i="7"/>
  <c r="D35" i="7"/>
  <c r="B35" i="7"/>
  <c r="M34" i="7"/>
  <c r="N34" i="7" s="1"/>
  <c r="K34" i="7"/>
  <c r="L34" i="7" s="1"/>
  <c r="H34" i="7"/>
  <c r="I34" i="7" s="1"/>
  <c r="F34" i="7"/>
  <c r="G34" i="7" s="1"/>
  <c r="E34" i="7"/>
  <c r="D34" i="7"/>
  <c r="B34" i="7"/>
  <c r="M33" i="7"/>
  <c r="N33" i="7" s="1"/>
  <c r="K33" i="7"/>
  <c r="L33" i="7" s="1"/>
  <c r="H33" i="7"/>
  <c r="I33" i="7" s="1"/>
  <c r="F33" i="7"/>
  <c r="G33" i="7" s="1"/>
  <c r="E33" i="7"/>
  <c r="D33" i="7"/>
  <c r="B33" i="7"/>
  <c r="M32" i="7"/>
  <c r="N32" i="7" s="1"/>
  <c r="K32" i="7"/>
  <c r="L32" i="7" s="1"/>
  <c r="H32" i="7"/>
  <c r="I32" i="7" s="1"/>
  <c r="F32" i="7"/>
  <c r="G32" i="7" s="1"/>
  <c r="E32" i="7"/>
  <c r="D32" i="7"/>
  <c r="B32" i="7"/>
  <c r="M31" i="7"/>
  <c r="N31" i="7" s="1"/>
  <c r="K31" i="7"/>
  <c r="L31" i="7" s="1"/>
  <c r="H31" i="7"/>
  <c r="I31" i="7" s="1"/>
  <c r="F31" i="7"/>
  <c r="G31" i="7" s="1"/>
  <c r="E31" i="7"/>
  <c r="D31" i="7"/>
  <c r="B31" i="7"/>
  <c r="M30" i="7"/>
  <c r="N30" i="7" s="1"/>
  <c r="K30" i="7"/>
  <c r="L30" i="7" s="1"/>
  <c r="H30" i="7"/>
  <c r="I30" i="7" s="1"/>
  <c r="F30" i="7"/>
  <c r="G30" i="7" s="1"/>
  <c r="E30" i="7"/>
  <c r="D30" i="7"/>
  <c r="B30" i="7"/>
  <c r="M29" i="7"/>
  <c r="N29" i="7" s="1"/>
  <c r="K29" i="7"/>
  <c r="L29" i="7" s="1"/>
  <c r="H29" i="7"/>
  <c r="I29" i="7" s="1"/>
  <c r="F29" i="7"/>
  <c r="G29" i="7" s="1"/>
  <c r="E29" i="7"/>
  <c r="D29" i="7"/>
  <c r="B29" i="7"/>
  <c r="M28" i="7"/>
  <c r="N28" i="7" s="1"/>
  <c r="K28" i="7"/>
  <c r="L28" i="7" s="1"/>
  <c r="H28" i="7"/>
  <c r="I28" i="7" s="1"/>
  <c r="F28" i="7"/>
  <c r="G28" i="7" s="1"/>
  <c r="E28" i="7"/>
  <c r="D28" i="7"/>
  <c r="B28" i="7"/>
  <c r="M27" i="7"/>
  <c r="N27" i="7" s="1"/>
  <c r="K27" i="7"/>
  <c r="L27" i="7" s="1"/>
  <c r="H27" i="7"/>
  <c r="I27" i="7" s="1"/>
  <c r="F27" i="7"/>
  <c r="G27" i="7" s="1"/>
  <c r="E27" i="7"/>
  <c r="D27" i="7"/>
  <c r="B27" i="7"/>
  <c r="M26" i="7"/>
  <c r="N26" i="7" s="1"/>
  <c r="K26" i="7"/>
  <c r="L26" i="7" s="1"/>
  <c r="H26" i="7"/>
  <c r="I26" i="7" s="1"/>
  <c r="F26" i="7"/>
  <c r="G26" i="7" s="1"/>
  <c r="E26" i="7"/>
  <c r="D26" i="7"/>
  <c r="B26" i="7"/>
  <c r="M25" i="7"/>
  <c r="N25" i="7" s="1"/>
  <c r="K25" i="7"/>
  <c r="L25" i="7" s="1"/>
  <c r="H25" i="7"/>
  <c r="I25" i="7" s="1"/>
  <c r="F25" i="7"/>
  <c r="G25" i="7" s="1"/>
  <c r="E25" i="7"/>
  <c r="D25" i="7"/>
  <c r="B25" i="7"/>
  <c r="M24" i="7"/>
  <c r="N24" i="7" s="1"/>
  <c r="K24" i="7"/>
  <c r="L24" i="7" s="1"/>
  <c r="H24" i="7"/>
  <c r="I24" i="7" s="1"/>
  <c r="F24" i="7"/>
  <c r="G24" i="7" s="1"/>
  <c r="E24" i="7"/>
  <c r="D24" i="7"/>
  <c r="B24" i="7"/>
  <c r="M23" i="7"/>
  <c r="N23" i="7" s="1"/>
  <c r="K23" i="7"/>
  <c r="L23" i="7" s="1"/>
  <c r="H23" i="7"/>
  <c r="I23" i="7" s="1"/>
  <c r="F23" i="7"/>
  <c r="G23" i="7" s="1"/>
  <c r="E23" i="7"/>
  <c r="D23" i="7"/>
  <c r="B23" i="7"/>
  <c r="M22" i="7"/>
  <c r="N22" i="7" s="1"/>
  <c r="K22" i="7"/>
  <c r="L22" i="7" s="1"/>
  <c r="H22" i="7"/>
  <c r="I22" i="7" s="1"/>
  <c r="F22" i="7"/>
  <c r="G22" i="7" s="1"/>
  <c r="E22" i="7"/>
  <c r="D22" i="7"/>
  <c r="B22" i="7"/>
  <c r="M21" i="7"/>
  <c r="N21" i="7" s="1"/>
  <c r="K21" i="7"/>
  <c r="L21" i="7" s="1"/>
  <c r="H21" i="7"/>
  <c r="I21" i="7" s="1"/>
  <c r="F21" i="7"/>
  <c r="G21" i="7" s="1"/>
  <c r="E21" i="7"/>
  <c r="D21" i="7"/>
  <c r="B21" i="7"/>
  <c r="M20" i="7"/>
  <c r="N20" i="7" s="1"/>
  <c r="K20" i="7"/>
  <c r="L20" i="7" s="1"/>
  <c r="H20" i="7"/>
  <c r="I20" i="7" s="1"/>
  <c r="F20" i="7"/>
  <c r="G20" i="7" s="1"/>
  <c r="E20" i="7"/>
  <c r="D20" i="7"/>
  <c r="B20" i="7"/>
  <c r="M19" i="7"/>
  <c r="N19" i="7" s="1"/>
  <c r="K19" i="7"/>
  <c r="L19" i="7" s="1"/>
  <c r="H19" i="7"/>
  <c r="I19" i="7" s="1"/>
  <c r="F19" i="7"/>
  <c r="G19" i="7" s="1"/>
  <c r="E19" i="7"/>
  <c r="D19" i="7"/>
  <c r="B19" i="7"/>
  <c r="M18" i="7"/>
  <c r="N18" i="7" s="1"/>
  <c r="K18" i="7"/>
  <c r="L18" i="7" s="1"/>
  <c r="H18" i="7"/>
  <c r="I18" i="7" s="1"/>
  <c r="F18" i="7"/>
  <c r="G18" i="7" s="1"/>
  <c r="E18" i="7"/>
  <c r="D18" i="7"/>
  <c r="B18" i="7"/>
  <c r="M17" i="7"/>
  <c r="N17" i="7" s="1"/>
  <c r="K17" i="7"/>
  <c r="L17" i="7" s="1"/>
  <c r="H17" i="7"/>
  <c r="I17" i="7" s="1"/>
  <c r="F17" i="7"/>
  <c r="G17" i="7" s="1"/>
  <c r="E17" i="7"/>
  <c r="D17" i="7"/>
  <c r="B17" i="7"/>
  <c r="M16" i="7"/>
  <c r="N16" i="7" s="1"/>
  <c r="K16" i="7"/>
  <c r="L16" i="7" s="1"/>
  <c r="H16" i="7"/>
  <c r="I16" i="7" s="1"/>
  <c r="F16" i="7"/>
  <c r="G16" i="7" s="1"/>
  <c r="E16" i="7"/>
  <c r="D16" i="7"/>
  <c r="B16" i="7"/>
  <c r="M15" i="7"/>
  <c r="N15" i="7" s="1"/>
  <c r="K15" i="7"/>
  <c r="L15" i="7" s="1"/>
  <c r="H15" i="7"/>
  <c r="I15" i="7" s="1"/>
  <c r="F15" i="7"/>
  <c r="G15" i="7" s="1"/>
  <c r="E15" i="7"/>
  <c r="D15" i="7"/>
  <c r="B15" i="7"/>
  <c r="M14" i="7"/>
  <c r="N14" i="7" s="1"/>
  <c r="K14" i="7"/>
  <c r="L14" i="7" s="1"/>
  <c r="H14" i="7"/>
  <c r="I14" i="7" s="1"/>
  <c r="F14" i="7"/>
  <c r="G14" i="7" s="1"/>
  <c r="E14" i="7"/>
  <c r="D14" i="7"/>
  <c r="B14" i="7"/>
  <c r="M13" i="7"/>
  <c r="N13" i="7" s="1"/>
  <c r="K13" i="7"/>
  <c r="L13" i="7" s="1"/>
  <c r="H13" i="7"/>
  <c r="I13" i="7" s="1"/>
  <c r="F13" i="7"/>
  <c r="G13" i="7" s="1"/>
  <c r="E13" i="7"/>
  <c r="D13" i="7"/>
  <c r="B13" i="7"/>
  <c r="M12" i="7"/>
  <c r="N12" i="7" s="1"/>
  <c r="K12" i="7"/>
  <c r="L12" i="7" s="1"/>
  <c r="H12" i="7"/>
  <c r="I12" i="7" s="1"/>
  <c r="F12" i="7"/>
  <c r="G12" i="7" s="1"/>
  <c r="E12" i="7"/>
  <c r="D12" i="7"/>
  <c r="B12" i="7"/>
  <c r="M11" i="7"/>
  <c r="N11" i="7" s="1"/>
  <c r="K11" i="7"/>
  <c r="L11" i="7" s="1"/>
  <c r="H11" i="7"/>
  <c r="I11" i="7" s="1"/>
  <c r="F11" i="7"/>
  <c r="G11" i="7" s="1"/>
  <c r="E11" i="7"/>
  <c r="D11" i="7"/>
  <c r="B11" i="7"/>
  <c r="M10" i="7"/>
  <c r="N10" i="7" s="1"/>
  <c r="K10" i="7"/>
  <c r="L10" i="7" s="1"/>
  <c r="H10" i="7"/>
  <c r="I10" i="7" s="1"/>
  <c r="F10" i="7"/>
  <c r="G10" i="7" s="1"/>
  <c r="E10" i="7"/>
  <c r="D10" i="7"/>
  <c r="B10" i="7"/>
  <c r="M9" i="7"/>
  <c r="N9" i="7" s="1"/>
  <c r="K9" i="7"/>
  <c r="L9" i="7" s="1"/>
  <c r="H9" i="7"/>
  <c r="I9" i="7" s="1"/>
  <c r="F9" i="7"/>
  <c r="G9" i="7" s="1"/>
  <c r="E9" i="7"/>
  <c r="D9" i="7"/>
  <c r="B9" i="7"/>
  <c r="M8" i="7"/>
  <c r="N8" i="7" s="1"/>
  <c r="K8" i="7"/>
  <c r="L8" i="7" s="1"/>
  <c r="H8" i="7"/>
  <c r="I8" i="7" s="1"/>
  <c r="F8" i="7"/>
  <c r="G8" i="7" s="1"/>
  <c r="E8" i="7"/>
  <c r="D8" i="7"/>
  <c r="B8" i="7"/>
  <c r="M7" i="7"/>
  <c r="N7" i="7" s="1"/>
  <c r="K7" i="7"/>
  <c r="L7" i="7" s="1"/>
  <c r="H7" i="7"/>
  <c r="I7" i="7" s="1"/>
  <c r="F7" i="7"/>
  <c r="G7" i="7" s="1"/>
  <c r="E7" i="7"/>
  <c r="D7" i="7"/>
  <c r="B7" i="7"/>
  <c r="K6" i="7"/>
  <c r="L6" i="7" s="1"/>
  <c r="H6" i="7"/>
  <c r="I6" i="7" s="1"/>
  <c r="F6" i="7"/>
  <c r="G6" i="7" s="1"/>
  <c r="E6" i="7"/>
  <c r="D6" i="7"/>
  <c r="B6" i="7"/>
  <c r="M6" i="7" s="1"/>
  <c r="N6" i="7" s="1"/>
  <c r="M5" i="7"/>
  <c r="N5" i="7" s="1"/>
  <c r="K5" i="7"/>
  <c r="L5" i="7" s="1"/>
  <c r="H5" i="7"/>
  <c r="I5" i="7" s="1"/>
  <c r="F5" i="7"/>
  <c r="G5" i="7" s="1"/>
  <c r="D5" i="7"/>
  <c r="B5" i="7"/>
  <c r="H45" i="5"/>
  <c r="I45" i="5" s="1"/>
  <c r="F45" i="5"/>
  <c r="G45" i="5" s="1"/>
  <c r="E45" i="5"/>
  <c r="D45" i="5"/>
  <c r="B45" i="5"/>
  <c r="H44" i="5"/>
  <c r="I44" i="5" s="1"/>
  <c r="F44" i="5"/>
  <c r="G44" i="5" s="1"/>
  <c r="E44" i="5"/>
  <c r="D44" i="5"/>
  <c r="B44" i="5"/>
  <c r="H43" i="5"/>
  <c r="I43" i="5" s="1"/>
  <c r="I41" i="3" s="1"/>
  <c r="F43" i="5"/>
  <c r="G43" i="5" s="1"/>
  <c r="E43" i="5"/>
  <c r="D43" i="5"/>
  <c r="B43" i="5"/>
  <c r="H42" i="5"/>
  <c r="I42" i="5" s="1"/>
  <c r="F42" i="5"/>
  <c r="G42" i="5" s="1"/>
  <c r="E42" i="5"/>
  <c r="D42" i="5"/>
  <c r="B42" i="5"/>
  <c r="H41" i="5"/>
  <c r="I41" i="5" s="1"/>
  <c r="F41" i="5"/>
  <c r="G41" i="5" s="1"/>
  <c r="E41" i="5"/>
  <c r="D41" i="5"/>
  <c r="B41" i="5"/>
  <c r="H40" i="5"/>
  <c r="I40" i="5" s="1"/>
  <c r="I38" i="3" s="1"/>
  <c r="F40" i="5"/>
  <c r="G40" i="5" s="1"/>
  <c r="E40" i="5"/>
  <c r="D40" i="5"/>
  <c r="B40" i="5"/>
  <c r="H39" i="5"/>
  <c r="I39" i="5" s="1"/>
  <c r="F39" i="5"/>
  <c r="G39" i="5" s="1"/>
  <c r="E39" i="5"/>
  <c r="D39" i="5"/>
  <c r="B39" i="5"/>
  <c r="H38" i="5"/>
  <c r="I38" i="5" s="1"/>
  <c r="I36" i="3" s="1"/>
  <c r="F38" i="5"/>
  <c r="G38" i="5" s="1"/>
  <c r="E38" i="5"/>
  <c r="D38" i="5"/>
  <c r="B38" i="5"/>
  <c r="H37" i="5"/>
  <c r="I37" i="5" s="1"/>
  <c r="F37" i="5"/>
  <c r="G37" i="5" s="1"/>
  <c r="E37" i="5"/>
  <c r="D37" i="5"/>
  <c r="B37" i="5"/>
  <c r="H36" i="5"/>
  <c r="I36" i="5" s="1"/>
  <c r="I34" i="3" s="1"/>
  <c r="F36" i="5"/>
  <c r="G36" i="5" s="1"/>
  <c r="E36" i="5"/>
  <c r="D36" i="5"/>
  <c r="B36" i="5"/>
  <c r="H35" i="5"/>
  <c r="I35" i="5" s="1"/>
  <c r="F35" i="5"/>
  <c r="G35" i="5" s="1"/>
  <c r="E35" i="5"/>
  <c r="D35" i="5"/>
  <c r="B35" i="5"/>
  <c r="H34" i="5"/>
  <c r="I34" i="5" s="1"/>
  <c r="F34" i="5"/>
  <c r="G34" i="5" s="1"/>
  <c r="E34" i="5"/>
  <c r="D34" i="5"/>
  <c r="B34" i="5"/>
  <c r="H33" i="5"/>
  <c r="I33" i="5" s="1"/>
  <c r="F33" i="5"/>
  <c r="G33" i="5" s="1"/>
  <c r="E33" i="5"/>
  <c r="D33" i="5"/>
  <c r="B33" i="5"/>
  <c r="H32" i="5"/>
  <c r="I32" i="5" s="1"/>
  <c r="I30" i="3" s="1"/>
  <c r="F32" i="5"/>
  <c r="G32" i="5" s="1"/>
  <c r="E32" i="5"/>
  <c r="D32" i="5"/>
  <c r="B32" i="5"/>
  <c r="H31" i="5"/>
  <c r="I31" i="5" s="1"/>
  <c r="F31" i="5"/>
  <c r="G31" i="5" s="1"/>
  <c r="E31" i="5"/>
  <c r="D31" i="5"/>
  <c r="B31" i="5"/>
  <c r="H30" i="5"/>
  <c r="I30" i="5" s="1"/>
  <c r="I28" i="3" s="1"/>
  <c r="F30" i="5"/>
  <c r="G30" i="5" s="1"/>
  <c r="E30" i="5"/>
  <c r="D30" i="5"/>
  <c r="B30" i="5"/>
  <c r="H29" i="5"/>
  <c r="I29" i="5" s="1"/>
  <c r="F29" i="5"/>
  <c r="G29" i="5" s="1"/>
  <c r="E29" i="5"/>
  <c r="D29" i="5"/>
  <c r="B29" i="5"/>
  <c r="H28" i="5"/>
  <c r="I28" i="5" s="1"/>
  <c r="F28" i="5"/>
  <c r="G28" i="5" s="1"/>
  <c r="E28" i="5"/>
  <c r="D28" i="5"/>
  <c r="B28" i="5"/>
  <c r="H27" i="5"/>
  <c r="I27" i="5" s="1"/>
  <c r="F27" i="5"/>
  <c r="G27" i="5" s="1"/>
  <c r="E27" i="5"/>
  <c r="D27" i="5"/>
  <c r="B27" i="5"/>
  <c r="H26" i="5"/>
  <c r="I26" i="5" s="1"/>
  <c r="F26" i="5"/>
  <c r="G26" i="5" s="1"/>
  <c r="E26" i="5"/>
  <c r="D26" i="5"/>
  <c r="B26" i="5"/>
  <c r="H25" i="5"/>
  <c r="I25" i="5" s="1"/>
  <c r="F25" i="5"/>
  <c r="G25" i="5" s="1"/>
  <c r="E25" i="5"/>
  <c r="D25" i="5"/>
  <c r="B25" i="5"/>
  <c r="H24" i="5"/>
  <c r="I24" i="5" s="1"/>
  <c r="I22" i="3" s="1"/>
  <c r="F24" i="5"/>
  <c r="G24" i="5" s="1"/>
  <c r="E24" i="5"/>
  <c r="D24" i="5"/>
  <c r="B24" i="5"/>
  <c r="H23" i="5"/>
  <c r="I23" i="5" s="1"/>
  <c r="F23" i="5"/>
  <c r="G23" i="5" s="1"/>
  <c r="E23" i="5"/>
  <c r="D23" i="5"/>
  <c r="B23" i="5"/>
  <c r="H22" i="5"/>
  <c r="I22" i="5" s="1"/>
  <c r="F22" i="5"/>
  <c r="G22" i="5" s="1"/>
  <c r="E22" i="5"/>
  <c r="D22" i="5"/>
  <c r="B22" i="5"/>
  <c r="H21" i="5"/>
  <c r="I21" i="5" s="1"/>
  <c r="F21" i="5"/>
  <c r="G21" i="5" s="1"/>
  <c r="E21" i="5"/>
  <c r="D21" i="5"/>
  <c r="B21" i="5"/>
  <c r="H20" i="5"/>
  <c r="I20" i="5" s="1"/>
  <c r="I18" i="3" s="1"/>
  <c r="F20" i="5"/>
  <c r="G20" i="5" s="1"/>
  <c r="E20" i="5"/>
  <c r="D20" i="5"/>
  <c r="B20" i="5"/>
  <c r="H19" i="5"/>
  <c r="I19" i="5" s="1"/>
  <c r="I17" i="3" s="1"/>
  <c r="F19" i="5"/>
  <c r="G19" i="5" s="1"/>
  <c r="E19" i="5"/>
  <c r="D19" i="5"/>
  <c r="B19" i="5"/>
  <c r="H18" i="5"/>
  <c r="I18" i="5" s="1"/>
  <c r="F18" i="5"/>
  <c r="G18" i="5" s="1"/>
  <c r="E18" i="5"/>
  <c r="D18" i="5"/>
  <c r="B18" i="5"/>
  <c r="H17" i="5"/>
  <c r="I17" i="5" s="1"/>
  <c r="F17" i="5"/>
  <c r="G17" i="5" s="1"/>
  <c r="E17" i="5"/>
  <c r="D17" i="5"/>
  <c r="B17" i="5"/>
  <c r="H16" i="5"/>
  <c r="I16" i="5" s="1"/>
  <c r="I14" i="3" s="1"/>
  <c r="F16" i="5"/>
  <c r="G16" i="5" s="1"/>
  <c r="E16" i="5"/>
  <c r="D16" i="5"/>
  <c r="B16" i="5"/>
  <c r="H15" i="5"/>
  <c r="I15" i="5" s="1"/>
  <c r="F15" i="5"/>
  <c r="G15" i="5" s="1"/>
  <c r="E15" i="5"/>
  <c r="D15" i="5"/>
  <c r="B15" i="5"/>
  <c r="H14" i="5"/>
  <c r="I14" i="5" s="1"/>
  <c r="I12" i="3" s="1"/>
  <c r="F14" i="5"/>
  <c r="G14" i="5" s="1"/>
  <c r="E14" i="5"/>
  <c r="D14" i="5"/>
  <c r="B14" i="5"/>
  <c r="H13" i="5"/>
  <c r="I13" i="5" s="1"/>
  <c r="F13" i="5"/>
  <c r="G13" i="5" s="1"/>
  <c r="E13" i="5"/>
  <c r="D13" i="5"/>
  <c r="B13" i="5"/>
  <c r="H12" i="5"/>
  <c r="I12" i="5" s="1"/>
  <c r="I10" i="3" s="1"/>
  <c r="F12" i="5"/>
  <c r="G12" i="5" s="1"/>
  <c r="E12" i="5"/>
  <c r="D12" i="5"/>
  <c r="B12" i="5"/>
  <c r="H11" i="5"/>
  <c r="I11" i="5" s="1"/>
  <c r="I9" i="3" s="1"/>
  <c r="F11" i="5"/>
  <c r="G11" i="5" s="1"/>
  <c r="E11" i="5"/>
  <c r="D11" i="5"/>
  <c r="B11" i="5"/>
  <c r="H10" i="5"/>
  <c r="I10" i="5" s="1"/>
  <c r="F10" i="5"/>
  <c r="G10" i="5" s="1"/>
  <c r="E10" i="5"/>
  <c r="D10" i="5"/>
  <c r="B10" i="5"/>
  <c r="H9" i="5"/>
  <c r="I9" i="5" s="1"/>
  <c r="F9" i="5"/>
  <c r="G9" i="5" s="1"/>
  <c r="E9" i="5"/>
  <c r="D9" i="5"/>
  <c r="B9" i="5"/>
  <c r="H8" i="5"/>
  <c r="I8" i="5" s="1"/>
  <c r="F8" i="5"/>
  <c r="G8" i="5" s="1"/>
  <c r="E8" i="5"/>
  <c r="D8" i="5"/>
  <c r="B8" i="5"/>
  <c r="E7" i="5"/>
  <c r="D7" i="5"/>
  <c r="B7" i="5"/>
  <c r="H7" i="5" s="1"/>
  <c r="I7" i="5" s="1"/>
  <c r="H6" i="5"/>
  <c r="I6" i="5" s="1"/>
  <c r="F6" i="5"/>
  <c r="G6" i="5" s="1"/>
  <c r="D6" i="5"/>
  <c r="B6" i="5"/>
  <c r="H44" i="4"/>
  <c r="I44" i="4" s="1"/>
  <c r="F44" i="4"/>
  <c r="G44" i="4" s="1"/>
  <c r="E44" i="4"/>
  <c r="D44" i="4"/>
  <c r="B44" i="4"/>
  <c r="H43" i="4"/>
  <c r="I43" i="4" s="1"/>
  <c r="F43" i="4"/>
  <c r="G43" i="4" s="1"/>
  <c r="E43" i="4"/>
  <c r="D43" i="4"/>
  <c r="B43" i="4"/>
  <c r="H42" i="4"/>
  <c r="I42" i="4" s="1"/>
  <c r="E41" i="3" s="1"/>
  <c r="F42" i="4"/>
  <c r="G42" i="4" s="1"/>
  <c r="E42" i="4"/>
  <c r="D42" i="4"/>
  <c r="B42" i="4"/>
  <c r="H41" i="4"/>
  <c r="I41" i="4" s="1"/>
  <c r="E40" i="3" s="1"/>
  <c r="F41" i="4"/>
  <c r="G41" i="4" s="1"/>
  <c r="E41" i="4"/>
  <c r="D41" i="4"/>
  <c r="B41" i="4"/>
  <c r="H40" i="4"/>
  <c r="I40" i="4" s="1"/>
  <c r="F40" i="4"/>
  <c r="G40" i="4" s="1"/>
  <c r="E40" i="4"/>
  <c r="D40" i="4"/>
  <c r="B40" i="4"/>
  <c r="H39" i="4"/>
  <c r="I39" i="4" s="1"/>
  <c r="E38" i="3" s="1"/>
  <c r="F39" i="4"/>
  <c r="G39" i="4" s="1"/>
  <c r="E39" i="4"/>
  <c r="D39" i="4"/>
  <c r="B39" i="4"/>
  <c r="H38" i="4"/>
  <c r="I38" i="4" s="1"/>
  <c r="F38" i="4"/>
  <c r="G38" i="4" s="1"/>
  <c r="E38" i="4"/>
  <c r="D38" i="4"/>
  <c r="B38" i="4"/>
  <c r="H37" i="4"/>
  <c r="I37" i="4" s="1"/>
  <c r="F37" i="4"/>
  <c r="G37" i="4" s="1"/>
  <c r="E37" i="4"/>
  <c r="D37" i="4"/>
  <c r="B37" i="4"/>
  <c r="H36" i="4"/>
  <c r="I36" i="4" s="1"/>
  <c r="F36" i="4"/>
  <c r="G36" i="4" s="1"/>
  <c r="E36" i="4"/>
  <c r="D36" i="4"/>
  <c r="B36" i="4"/>
  <c r="H35" i="4"/>
  <c r="I35" i="4" s="1"/>
  <c r="F35" i="4"/>
  <c r="G35" i="4" s="1"/>
  <c r="E35" i="4"/>
  <c r="D35" i="4"/>
  <c r="B35" i="4"/>
  <c r="H34" i="4"/>
  <c r="I34" i="4" s="1"/>
  <c r="F34" i="4"/>
  <c r="G34" i="4" s="1"/>
  <c r="E34" i="4"/>
  <c r="D34" i="4"/>
  <c r="B34" i="4"/>
  <c r="H33" i="4"/>
  <c r="I33" i="4" s="1"/>
  <c r="F33" i="4"/>
  <c r="G33" i="4" s="1"/>
  <c r="E33" i="4"/>
  <c r="D33" i="4"/>
  <c r="B33" i="4"/>
  <c r="H32" i="4"/>
  <c r="I32" i="4" s="1"/>
  <c r="F32" i="4"/>
  <c r="G32" i="4" s="1"/>
  <c r="E32" i="4"/>
  <c r="D32" i="4"/>
  <c r="B32" i="4"/>
  <c r="H31" i="4"/>
  <c r="I31" i="4" s="1"/>
  <c r="E30" i="3" s="1"/>
  <c r="F31" i="4"/>
  <c r="G31" i="4" s="1"/>
  <c r="E31" i="4"/>
  <c r="D31" i="4"/>
  <c r="B31" i="4"/>
  <c r="H30" i="4"/>
  <c r="I30" i="4" s="1"/>
  <c r="F30" i="4"/>
  <c r="G30" i="4" s="1"/>
  <c r="E30" i="4"/>
  <c r="D30" i="4"/>
  <c r="B30" i="4"/>
  <c r="H29" i="4"/>
  <c r="I29" i="4" s="1"/>
  <c r="F29" i="4"/>
  <c r="G29" i="4" s="1"/>
  <c r="E29" i="4"/>
  <c r="D29" i="4"/>
  <c r="B29" i="4"/>
  <c r="H28" i="4"/>
  <c r="I28" i="4" s="1"/>
  <c r="E27" i="3" s="1"/>
  <c r="F28" i="4"/>
  <c r="G28" i="4" s="1"/>
  <c r="E28" i="4"/>
  <c r="D28" i="4"/>
  <c r="B28" i="4"/>
  <c r="H27" i="4"/>
  <c r="I27" i="4" s="1"/>
  <c r="F27" i="4"/>
  <c r="G27" i="4" s="1"/>
  <c r="E27" i="4"/>
  <c r="D27" i="4"/>
  <c r="B27" i="4"/>
  <c r="H26" i="4"/>
  <c r="I26" i="4" s="1"/>
  <c r="F26" i="4"/>
  <c r="G26" i="4" s="1"/>
  <c r="E26" i="4"/>
  <c r="D26" i="4"/>
  <c r="B26" i="4"/>
  <c r="H25" i="4"/>
  <c r="I25" i="4" s="1"/>
  <c r="E24" i="3" s="1"/>
  <c r="F25" i="4"/>
  <c r="G25" i="4" s="1"/>
  <c r="E25" i="4"/>
  <c r="D25" i="4"/>
  <c r="B25" i="4"/>
  <c r="H24" i="4"/>
  <c r="I24" i="4" s="1"/>
  <c r="F24" i="4"/>
  <c r="G24" i="4" s="1"/>
  <c r="E24" i="4"/>
  <c r="D24" i="4"/>
  <c r="B24" i="4"/>
  <c r="H23" i="4"/>
  <c r="I23" i="4" s="1"/>
  <c r="E22" i="3" s="1"/>
  <c r="F23" i="4"/>
  <c r="G23" i="4" s="1"/>
  <c r="E23" i="4"/>
  <c r="D23" i="4"/>
  <c r="B23" i="4"/>
  <c r="H22" i="4"/>
  <c r="I22" i="4" s="1"/>
  <c r="F22" i="4"/>
  <c r="G22" i="4" s="1"/>
  <c r="E22" i="4"/>
  <c r="D22" i="4"/>
  <c r="B22" i="4"/>
  <c r="H21" i="4"/>
  <c r="I21" i="4" s="1"/>
  <c r="F21" i="4"/>
  <c r="G21" i="4" s="1"/>
  <c r="E21" i="4"/>
  <c r="D21" i="4"/>
  <c r="B21" i="4"/>
  <c r="H20" i="4"/>
  <c r="I20" i="4" s="1"/>
  <c r="F20" i="4"/>
  <c r="G20" i="4" s="1"/>
  <c r="E20" i="4"/>
  <c r="D20" i="4"/>
  <c r="B20" i="4"/>
  <c r="H19" i="4"/>
  <c r="I19" i="4" s="1"/>
  <c r="F19" i="4"/>
  <c r="G19" i="4" s="1"/>
  <c r="E19" i="4"/>
  <c r="D19" i="4"/>
  <c r="B19" i="4"/>
  <c r="H18" i="4"/>
  <c r="I18" i="4" s="1"/>
  <c r="F18" i="4"/>
  <c r="G18" i="4" s="1"/>
  <c r="E18" i="4"/>
  <c r="D18" i="4"/>
  <c r="B18" i="4"/>
  <c r="H17" i="4"/>
  <c r="I17" i="4" s="1"/>
  <c r="E16" i="3" s="1"/>
  <c r="F17" i="4"/>
  <c r="G17" i="4" s="1"/>
  <c r="E17" i="4"/>
  <c r="D17" i="4"/>
  <c r="B17" i="4"/>
  <c r="H16" i="4"/>
  <c r="I16" i="4" s="1"/>
  <c r="F16" i="4"/>
  <c r="G16" i="4" s="1"/>
  <c r="E16" i="4"/>
  <c r="D16" i="4"/>
  <c r="B16" i="4"/>
  <c r="H15" i="4"/>
  <c r="I15" i="4" s="1"/>
  <c r="E14" i="3" s="1"/>
  <c r="F15" i="4"/>
  <c r="G15" i="4" s="1"/>
  <c r="E15" i="4"/>
  <c r="D15" i="4"/>
  <c r="B15" i="4"/>
  <c r="H14" i="4"/>
  <c r="I14" i="4" s="1"/>
  <c r="F14" i="4"/>
  <c r="G14" i="4" s="1"/>
  <c r="E14" i="4"/>
  <c r="D14" i="4"/>
  <c r="B14" i="4"/>
  <c r="H13" i="4"/>
  <c r="I13" i="4" s="1"/>
  <c r="E12" i="3" s="1"/>
  <c r="F13" i="4"/>
  <c r="G13" i="4" s="1"/>
  <c r="E13" i="4"/>
  <c r="D13" i="4"/>
  <c r="B13" i="4"/>
  <c r="H12" i="4"/>
  <c r="I12" i="4" s="1"/>
  <c r="F12" i="4"/>
  <c r="G12" i="4" s="1"/>
  <c r="E12" i="4"/>
  <c r="D12" i="4"/>
  <c r="B12" i="4"/>
  <c r="H11" i="4"/>
  <c r="I11" i="4" s="1"/>
  <c r="F11" i="4"/>
  <c r="G11" i="4" s="1"/>
  <c r="E11" i="4"/>
  <c r="D11" i="4"/>
  <c r="B11" i="4"/>
  <c r="H10" i="4"/>
  <c r="I10" i="4" s="1"/>
  <c r="F10" i="4"/>
  <c r="G10" i="4" s="1"/>
  <c r="E10" i="4"/>
  <c r="D10" i="4"/>
  <c r="B10" i="4"/>
  <c r="H9" i="4"/>
  <c r="I9" i="4" s="1"/>
  <c r="F9" i="4"/>
  <c r="G9" i="4" s="1"/>
  <c r="E9" i="4"/>
  <c r="D9" i="4"/>
  <c r="B9" i="4"/>
  <c r="H8" i="4"/>
  <c r="I8" i="4" s="1"/>
  <c r="F8" i="4"/>
  <c r="G8" i="4" s="1"/>
  <c r="E8" i="4"/>
  <c r="D8" i="4"/>
  <c r="B8" i="4"/>
  <c r="H7" i="4"/>
  <c r="I7" i="4" s="1"/>
  <c r="E6" i="3" s="1"/>
  <c r="F7" i="4"/>
  <c r="G7" i="4" s="1"/>
  <c r="E7" i="4"/>
  <c r="D7" i="4"/>
  <c r="B7" i="4"/>
  <c r="E6" i="4"/>
  <c r="D6" i="4"/>
  <c r="B6" i="4"/>
  <c r="H6" i="4" s="1"/>
  <c r="I6" i="4" s="1"/>
  <c r="H5" i="4"/>
  <c r="I5" i="4" s="1"/>
  <c r="F5" i="4"/>
  <c r="G5" i="4" s="1"/>
  <c r="D5" i="4"/>
  <c r="B5" i="4"/>
  <c r="F43" i="2"/>
  <c r="E43" i="2"/>
  <c r="D43" i="2"/>
  <c r="C43" i="2"/>
  <c r="F42" i="2"/>
  <c r="E42" i="2"/>
  <c r="D42" i="2"/>
  <c r="C42" i="2"/>
  <c r="F41" i="2"/>
  <c r="E41" i="2"/>
  <c r="D41" i="2"/>
  <c r="C41" i="2"/>
  <c r="F40" i="2"/>
  <c r="E40" i="2"/>
  <c r="D40" i="2"/>
  <c r="C40" i="2"/>
  <c r="F39" i="2"/>
  <c r="E39" i="2"/>
  <c r="D39" i="2"/>
  <c r="C39" i="2"/>
  <c r="F38" i="2"/>
  <c r="E38" i="2"/>
  <c r="D38" i="2"/>
  <c r="C38" i="2"/>
  <c r="F37" i="2"/>
  <c r="E37" i="2"/>
  <c r="D37" i="2"/>
  <c r="C37" i="2"/>
  <c r="F36" i="2"/>
  <c r="E36" i="2"/>
  <c r="D36" i="2"/>
  <c r="C36" i="2"/>
  <c r="F35" i="2"/>
  <c r="E35" i="2"/>
  <c r="D35" i="2"/>
  <c r="C35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C25" i="2"/>
  <c r="F24" i="2"/>
  <c r="E24" i="2"/>
  <c r="D24" i="2"/>
  <c r="C24" i="2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E4" i="2"/>
  <c r="D4" i="2"/>
  <c r="C4" i="2"/>
  <c r="O44" i="1"/>
  <c r="N44" i="1"/>
  <c r="N43" i="1"/>
  <c r="O43" i="1" s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N27" i="1"/>
  <c r="O27" i="1" s="1"/>
  <c r="N26" i="1"/>
  <c r="O26" i="1" s="1"/>
  <c r="O25" i="1"/>
  <c r="N25" i="1"/>
  <c r="O24" i="1"/>
  <c r="N24" i="1"/>
  <c r="O23" i="1"/>
  <c r="N23" i="1"/>
  <c r="O22" i="1"/>
  <c r="N22" i="1"/>
  <c r="N21" i="1"/>
  <c r="O21" i="1" s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N12" i="1"/>
  <c r="O12" i="1" s="1"/>
  <c r="O11" i="1"/>
  <c r="N11" i="1"/>
  <c r="O10" i="1"/>
  <c r="N10" i="1"/>
  <c r="O9" i="1"/>
  <c r="N9" i="1"/>
  <c r="O8" i="1"/>
  <c r="N8" i="1"/>
  <c r="N7" i="1"/>
  <c r="O7" i="1" s="1"/>
  <c r="N6" i="1"/>
  <c r="O6" i="1" s="1"/>
  <c r="N5" i="1"/>
  <c r="O5" i="1" s="1"/>
  <c r="O15" i="7" l="1"/>
  <c r="J13" i="7"/>
  <c r="F6" i="4"/>
  <c r="G6" i="4" s="1"/>
  <c r="J6" i="4" s="1"/>
  <c r="F7" i="5"/>
  <c r="G7" i="5" s="1"/>
  <c r="J7" i="5" s="1"/>
  <c r="J24" i="4"/>
  <c r="O30" i="7"/>
  <c r="E4" i="3"/>
  <c r="J32" i="4"/>
  <c r="J8" i="7"/>
  <c r="J40" i="4"/>
  <c r="I25" i="3"/>
  <c r="O22" i="7"/>
  <c r="J26" i="4"/>
  <c r="J14" i="5"/>
  <c r="J30" i="5"/>
  <c r="J22" i="7"/>
  <c r="J34" i="4"/>
  <c r="J14" i="7"/>
  <c r="J10" i="7"/>
  <c r="J30" i="7"/>
  <c r="J6" i="5"/>
  <c r="O25" i="7"/>
  <c r="O26" i="7"/>
  <c r="J33" i="4"/>
  <c r="J28" i="5"/>
  <c r="J44" i="5"/>
  <c r="M5" i="3"/>
  <c r="O11" i="7"/>
  <c r="O16" i="7"/>
  <c r="O18" i="7"/>
  <c r="J26" i="7"/>
  <c r="J12" i="5"/>
  <c r="J6" i="7"/>
  <c r="O10" i="7"/>
  <c r="J34" i="7"/>
  <c r="J13" i="5"/>
  <c r="I20" i="3"/>
  <c r="O21" i="7"/>
  <c r="O42" i="7"/>
  <c r="E29" i="3"/>
  <c r="J35" i="5"/>
  <c r="O29" i="7"/>
  <c r="J38" i="7"/>
  <c r="E23" i="3"/>
  <c r="J25" i="4"/>
  <c r="O6" i="7"/>
  <c r="M15" i="3"/>
  <c r="O33" i="7"/>
  <c r="O34" i="7"/>
  <c r="J23" i="4"/>
  <c r="J22" i="5"/>
  <c r="O38" i="7"/>
  <c r="M21" i="3"/>
  <c r="O14" i="7"/>
  <c r="I26" i="3"/>
  <c r="J12" i="4"/>
  <c r="J9" i="4"/>
  <c r="J17" i="4"/>
  <c r="J41" i="4"/>
  <c r="J42" i="4"/>
  <c r="M7" i="3"/>
  <c r="M8" i="3"/>
  <c r="M33" i="3"/>
  <c r="E7" i="3"/>
  <c r="J8" i="4"/>
  <c r="E15" i="3"/>
  <c r="J16" i="4"/>
  <c r="I7" i="3"/>
  <c r="J9" i="5"/>
  <c r="I23" i="3"/>
  <c r="J25" i="5"/>
  <c r="I39" i="3"/>
  <c r="J41" i="5"/>
  <c r="E10" i="3"/>
  <c r="J11" i="4"/>
  <c r="E18" i="3"/>
  <c r="J19" i="4"/>
  <c r="E28" i="3"/>
  <c r="J29" i="4"/>
  <c r="E5" i="3"/>
  <c r="E9" i="3"/>
  <c r="J10" i="4"/>
  <c r="E13" i="3"/>
  <c r="J14" i="4"/>
  <c r="E17" i="3"/>
  <c r="J18" i="4"/>
  <c r="E36" i="3"/>
  <c r="J37" i="4"/>
  <c r="E34" i="3"/>
  <c r="J35" i="4"/>
  <c r="I29" i="3"/>
  <c r="J31" i="5"/>
  <c r="J25" i="7"/>
  <c r="M24" i="3"/>
  <c r="J5" i="4"/>
  <c r="O31" i="7"/>
  <c r="I35" i="3"/>
  <c r="J37" i="5"/>
  <c r="O8" i="7"/>
  <c r="O23" i="7"/>
  <c r="M35" i="3"/>
  <c r="J36" i="7"/>
  <c r="O39" i="7"/>
  <c r="J19" i="5"/>
  <c r="O9" i="7"/>
  <c r="M10" i="3"/>
  <c r="J11" i="7"/>
  <c r="O13" i="7"/>
  <c r="M14" i="3"/>
  <c r="J15" i="7"/>
  <c r="O17" i="7"/>
  <c r="J19" i="7"/>
  <c r="M18" i="3"/>
  <c r="M27" i="3"/>
  <c r="J28" i="7"/>
  <c r="J37" i="7"/>
  <c r="M36" i="3"/>
  <c r="I5" i="3"/>
  <c r="I24" i="3"/>
  <c r="J26" i="5"/>
  <c r="O7" i="7"/>
  <c r="E8" i="3"/>
  <c r="I16" i="3"/>
  <c r="J18" i="5"/>
  <c r="J20" i="5"/>
  <c r="I21" i="3"/>
  <c r="J23" i="5"/>
  <c r="I32" i="3"/>
  <c r="J34" i="5"/>
  <c r="J36" i="5"/>
  <c r="J38" i="5"/>
  <c r="I37" i="3"/>
  <c r="J39" i="5"/>
  <c r="M4" i="3"/>
  <c r="M11" i="3"/>
  <c r="M19" i="3"/>
  <c r="J20" i="7"/>
  <c r="J29" i="7"/>
  <c r="M28" i="3"/>
  <c r="M43" i="3"/>
  <c r="J44" i="7"/>
  <c r="E42" i="3"/>
  <c r="J43" i="4"/>
  <c r="I13" i="3"/>
  <c r="J15" i="5"/>
  <c r="I19" i="3"/>
  <c r="J21" i="5"/>
  <c r="E11" i="3"/>
  <c r="J20" i="4"/>
  <c r="E20" i="3"/>
  <c r="J21" i="4"/>
  <c r="J22" i="4"/>
  <c r="E21" i="3"/>
  <c r="J30" i="4"/>
  <c r="J31" i="4"/>
  <c r="E31" i="3"/>
  <c r="E32" i="3"/>
  <c r="J38" i="4"/>
  <c r="E37" i="3"/>
  <c r="J39" i="4"/>
  <c r="E39" i="3"/>
  <c r="J10" i="5"/>
  <c r="I8" i="3"/>
  <c r="J11" i="5"/>
  <c r="I11" i="3"/>
  <c r="J5" i="7"/>
  <c r="J12" i="7"/>
  <c r="J16" i="7"/>
  <c r="J21" i="7"/>
  <c r="M20" i="3"/>
  <c r="O35" i="7"/>
  <c r="J41" i="7"/>
  <c r="M40" i="3"/>
  <c r="I15" i="3"/>
  <c r="J17" i="5"/>
  <c r="I27" i="3"/>
  <c r="J29" i="5"/>
  <c r="I31" i="3"/>
  <c r="J33" i="5"/>
  <c r="I43" i="3"/>
  <c r="J45" i="5"/>
  <c r="M6" i="3"/>
  <c r="O27" i="7"/>
  <c r="J32" i="7"/>
  <c r="M31" i="3"/>
  <c r="E26" i="3"/>
  <c r="J27" i="4"/>
  <c r="I40" i="3"/>
  <c r="J42" i="5"/>
  <c r="J13" i="4"/>
  <c r="J9" i="7"/>
  <c r="J18" i="7"/>
  <c r="M17" i="3"/>
  <c r="I33" i="3"/>
  <c r="J7" i="4"/>
  <c r="J15" i="4"/>
  <c r="E25" i="3"/>
  <c r="J28" i="4"/>
  <c r="E33" i="3"/>
  <c r="J36" i="4"/>
  <c r="E35" i="3"/>
  <c r="E43" i="3"/>
  <c r="J44" i="4"/>
  <c r="I4" i="3"/>
  <c r="I6" i="3"/>
  <c r="J8" i="5"/>
  <c r="J27" i="5"/>
  <c r="J43" i="5"/>
  <c r="I42" i="3"/>
  <c r="O5" i="7"/>
  <c r="J7" i="7"/>
  <c r="O12" i="7"/>
  <c r="M12" i="3"/>
  <c r="J17" i="7"/>
  <c r="M16" i="3"/>
  <c r="O19" i="7"/>
  <c r="J24" i="7"/>
  <c r="M23" i="3"/>
  <c r="J33" i="7"/>
  <c r="M32" i="3"/>
  <c r="J40" i="7"/>
  <c r="M39" i="3"/>
  <c r="O43" i="7"/>
  <c r="E19" i="3"/>
  <c r="M13" i="3"/>
  <c r="M29" i="3"/>
  <c r="O20" i="7"/>
  <c r="O24" i="7"/>
  <c r="O28" i="7"/>
  <c r="O32" i="7"/>
  <c r="O36" i="7"/>
  <c r="O40" i="7"/>
  <c r="J42" i="7"/>
  <c r="M41" i="3"/>
  <c r="O44" i="7"/>
  <c r="M9" i="3"/>
  <c r="M37" i="3"/>
  <c r="J16" i="5"/>
  <c r="J24" i="5"/>
  <c r="J32" i="5"/>
  <c r="J40" i="5"/>
  <c r="J23" i="7"/>
  <c r="M22" i="3"/>
  <c r="J27" i="7"/>
  <c r="M26" i="3"/>
  <c r="J31" i="7"/>
  <c r="M30" i="3"/>
  <c r="J35" i="7"/>
  <c r="M34" i="3"/>
  <c r="O37" i="7"/>
  <c r="J39" i="7"/>
  <c r="M38" i="3"/>
  <c r="O41" i="7"/>
  <c r="J43" i="7"/>
  <c r="M42" i="3"/>
  <c r="M25" i="3"/>
  <c r="N25" i="4" l="1"/>
  <c r="L25" i="4" s="1"/>
  <c r="N33" i="4"/>
  <c r="L33" i="4" s="1"/>
  <c r="N19" i="4"/>
  <c r="M19" i="4" s="1"/>
  <c r="N32" i="4"/>
  <c r="M32" i="4" s="1"/>
  <c r="N26" i="4"/>
  <c r="L26" i="4" s="1"/>
  <c r="N42" i="4"/>
  <c r="L42" i="4" s="1"/>
  <c r="N15" i="4"/>
  <c r="M15" i="4" s="1"/>
  <c r="N5" i="4"/>
  <c r="M5" i="4" s="1"/>
  <c r="N43" i="4"/>
  <c r="M43" i="4" s="1"/>
  <c r="N23" i="4"/>
  <c r="M23" i="4" s="1"/>
  <c r="L19" i="4"/>
  <c r="N39" i="5"/>
  <c r="N31" i="5"/>
  <c r="N23" i="5"/>
  <c r="N15" i="5"/>
  <c r="N7" i="5"/>
  <c r="N44" i="5"/>
  <c r="N36" i="5"/>
  <c r="N28" i="5"/>
  <c r="N20" i="5"/>
  <c r="N41" i="5"/>
  <c r="N33" i="5"/>
  <c r="N25" i="5"/>
  <c r="N17" i="5"/>
  <c r="N9" i="5"/>
  <c r="N38" i="5"/>
  <c r="N30" i="5"/>
  <c r="N22" i="5"/>
  <c r="N14" i="5"/>
  <c r="N6" i="5"/>
  <c r="N40" i="5"/>
  <c r="N32" i="5"/>
  <c r="N24" i="5"/>
  <c r="N16" i="5"/>
  <c r="N8" i="5"/>
  <c r="N12" i="5"/>
  <c r="N11" i="5"/>
  <c r="N10" i="5"/>
  <c r="N42" i="5"/>
  <c r="N35" i="5"/>
  <c r="N34" i="5"/>
  <c r="N19" i="5"/>
  <c r="N18" i="5"/>
  <c r="N43" i="5"/>
  <c r="N27" i="5"/>
  <c r="N45" i="5"/>
  <c r="N37" i="5"/>
  <c r="N21" i="5"/>
  <c r="N26" i="5"/>
  <c r="N29" i="5"/>
  <c r="N13" i="5"/>
  <c r="N22" i="4"/>
  <c r="N34" i="4"/>
  <c r="N17" i="4"/>
  <c r="N16" i="4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4" i="7"/>
  <c r="T10" i="7"/>
  <c r="T15" i="7"/>
  <c r="T11" i="7"/>
  <c r="T12" i="7"/>
  <c r="T6" i="7"/>
  <c r="T5" i="7"/>
  <c r="T13" i="7"/>
  <c r="T9" i="7"/>
  <c r="T8" i="7"/>
  <c r="T7" i="7"/>
  <c r="N8" i="4"/>
  <c r="N31" i="4"/>
  <c r="N21" i="4"/>
  <c r="N40" i="4"/>
  <c r="N20" i="4"/>
  <c r="N10" i="4"/>
  <c r="N39" i="4"/>
  <c r="N6" i="4"/>
  <c r="N28" i="4"/>
  <c r="N37" i="4"/>
  <c r="N11" i="4"/>
  <c r="N13" i="4"/>
  <c r="N9" i="4"/>
  <c r="N18" i="4"/>
  <c r="N30" i="4"/>
  <c r="N29" i="4"/>
  <c r="N38" i="4"/>
  <c r="N36" i="4"/>
  <c r="N27" i="4"/>
  <c r="N14" i="4"/>
  <c r="N12" i="4"/>
  <c r="N24" i="4"/>
  <c r="N7" i="4"/>
  <c r="N41" i="4"/>
  <c r="N44" i="4"/>
  <c r="N35" i="4"/>
  <c r="M33" i="4" l="1"/>
  <c r="L43" i="4"/>
  <c r="M26" i="4"/>
  <c r="L32" i="4"/>
  <c r="M25" i="4"/>
  <c r="M42" i="4"/>
  <c r="L15" i="4"/>
  <c r="L23" i="4"/>
  <c r="L5" i="4"/>
  <c r="S34" i="7"/>
  <c r="R34" i="7"/>
  <c r="L41" i="4"/>
  <c r="M41" i="4"/>
  <c r="M10" i="4"/>
  <c r="L10" i="4"/>
  <c r="S5" i="7"/>
  <c r="R5" i="7"/>
  <c r="S17" i="7"/>
  <c r="R17" i="7"/>
  <c r="S25" i="7"/>
  <c r="R25" i="7"/>
  <c r="S33" i="7"/>
  <c r="R33" i="7"/>
  <c r="S41" i="7"/>
  <c r="R41" i="7"/>
  <c r="L13" i="5"/>
  <c r="M13" i="5"/>
  <c r="M18" i="5"/>
  <c r="L18" i="5"/>
  <c r="M8" i="5"/>
  <c r="L8" i="5"/>
  <c r="L30" i="5"/>
  <c r="M30" i="5"/>
  <c r="M28" i="5"/>
  <c r="L28" i="5"/>
  <c r="M20" i="4"/>
  <c r="L20" i="4"/>
  <c r="S6" i="7"/>
  <c r="R6" i="7"/>
  <c r="L16" i="5"/>
  <c r="M16" i="5"/>
  <c r="L36" i="4"/>
  <c r="M36" i="4"/>
  <c r="S19" i="7"/>
  <c r="R19" i="7"/>
  <c r="S43" i="7"/>
  <c r="R43" i="7"/>
  <c r="M9" i="5"/>
  <c r="L9" i="5"/>
  <c r="L12" i="4"/>
  <c r="M12" i="4"/>
  <c r="M11" i="4"/>
  <c r="L11" i="4"/>
  <c r="R11" i="7"/>
  <c r="S11" i="7"/>
  <c r="S28" i="7"/>
  <c r="R28" i="7"/>
  <c r="L21" i="5"/>
  <c r="M21" i="5"/>
  <c r="L32" i="5"/>
  <c r="M32" i="5"/>
  <c r="M17" i="5"/>
  <c r="L17" i="5"/>
  <c r="L7" i="5"/>
  <c r="M7" i="5"/>
  <c r="L7" i="4"/>
  <c r="M7" i="4"/>
  <c r="M8" i="4"/>
  <c r="L8" i="4"/>
  <c r="S42" i="7"/>
  <c r="R42" i="7"/>
  <c r="M36" i="5"/>
  <c r="L36" i="5"/>
  <c r="M13" i="4"/>
  <c r="L13" i="4"/>
  <c r="S35" i="7"/>
  <c r="R35" i="7"/>
  <c r="M24" i="5"/>
  <c r="L24" i="5"/>
  <c r="M44" i="5"/>
  <c r="L44" i="5"/>
  <c r="M38" i="4"/>
  <c r="L38" i="4"/>
  <c r="M21" i="4"/>
  <c r="L21" i="4"/>
  <c r="S20" i="7"/>
  <c r="R20" i="7"/>
  <c r="S36" i="7"/>
  <c r="R36" i="7"/>
  <c r="S44" i="7"/>
  <c r="R44" i="7"/>
  <c r="M35" i="5"/>
  <c r="L35" i="5"/>
  <c r="M14" i="4"/>
  <c r="L14" i="4"/>
  <c r="M29" i="4"/>
  <c r="L29" i="4"/>
  <c r="M37" i="4"/>
  <c r="L37" i="4"/>
  <c r="M31" i="4"/>
  <c r="L31" i="4"/>
  <c r="S7" i="7"/>
  <c r="R7" i="7"/>
  <c r="R15" i="7"/>
  <c r="S15" i="7"/>
  <c r="S21" i="7"/>
  <c r="R21" i="7"/>
  <c r="S29" i="7"/>
  <c r="R29" i="7"/>
  <c r="S37" i="7"/>
  <c r="R37" i="7"/>
  <c r="M16" i="4"/>
  <c r="L16" i="4"/>
  <c r="L37" i="5"/>
  <c r="M37" i="5"/>
  <c r="M42" i="5"/>
  <c r="L42" i="5"/>
  <c r="M40" i="5"/>
  <c r="L40" i="5"/>
  <c r="M25" i="5"/>
  <c r="L25" i="5"/>
  <c r="M15" i="5"/>
  <c r="L15" i="5"/>
  <c r="S18" i="7"/>
  <c r="R18" i="7"/>
  <c r="L29" i="5"/>
  <c r="M29" i="5"/>
  <c r="M24" i="4"/>
  <c r="L24" i="4"/>
  <c r="S12" i="7"/>
  <c r="R12" i="7"/>
  <c r="M26" i="5"/>
  <c r="L26" i="5"/>
  <c r="M30" i="4"/>
  <c r="L30" i="4"/>
  <c r="S10" i="7"/>
  <c r="R10" i="7"/>
  <c r="S22" i="7"/>
  <c r="R22" i="7"/>
  <c r="S38" i="7"/>
  <c r="R38" i="7"/>
  <c r="M10" i="5"/>
  <c r="L10" i="5"/>
  <c r="M33" i="5"/>
  <c r="L33" i="5"/>
  <c r="L18" i="4"/>
  <c r="M18" i="4"/>
  <c r="M6" i="4"/>
  <c r="L6" i="4"/>
  <c r="S9" i="7"/>
  <c r="R9" i="7"/>
  <c r="S14" i="7"/>
  <c r="R14" i="7"/>
  <c r="S23" i="7"/>
  <c r="R23" i="7"/>
  <c r="S31" i="7"/>
  <c r="R31" i="7"/>
  <c r="S39" i="7"/>
  <c r="R39" i="7"/>
  <c r="L34" i="4"/>
  <c r="M34" i="4"/>
  <c r="M27" i="5"/>
  <c r="L27" i="5"/>
  <c r="M11" i="5"/>
  <c r="L11" i="5"/>
  <c r="L14" i="5"/>
  <c r="M14" i="5"/>
  <c r="M41" i="5"/>
  <c r="L41" i="5"/>
  <c r="M31" i="5"/>
  <c r="L31" i="5"/>
  <c r="L27" i="4"/>
  <c r="M27" i="4"/>
  <c r="S26" i="7"/>
  <c r="R26" i="7"/>
  <c r="M19" i="5"/>
  <c r="L19" i="5"/>
  <c r="L38" i="5"/>
  <c r="M38" i="5"/>
  <c r="M40" i="4"/>
  <c r="L40" i="4"/>
  <c r="S27" i="7"/>
  <c r="R27" i="7"/>
  <c r="M34" i="5"/>
  <c r="L34" i="5"/>
  <c r="L28" i="4"/>
  <c r="M28" i="4"/>
  <c r="S8" i="7"/>
  <c r="R8" i="7"/>
  <c r="S30" i="7"/>
  <c r="R30" i="7"/>
  <c r="M17" i="4"/>
  <c r="L17" i="4"/>
  <c r="L45" i="5"/>
  <c r="M45" i="5"/>
  <c r="L6" i="5"/>
  <c r="M6" i="5"/>
  <c r="M23" i="5"/>
  <c r="L23" i="5"/>
  <c r="L35" i="4"/>
  <c r="M35" i="4"/>
  <c r="L44" i="4"/>
  <c r="M44" i="4"/>
  <c r="M9" i="4"/>
  <c r="L9" i="4"/>
  <c r="M39" i="4"/>
  <c r="L39" i="4"/>
  <c r="S13" i="7"/>
  <c r="R13" i="7"/>
  <c r="R16" i="7"/>
  <c r="S16" i="7"/>
  <c r="S24" i="7"/>
  <c r="R24" i="7"/>
  <c r="S32" i="7"/>
  <c r="R32" i="7"/>
  <c r="S40" i="7"/>
  <c r="R40" i="7"/>
  <c r="M22" i="4"/>
  <c r="L22" i="4"/>
  <c r="M43" i="5"/>
  <c r="L43" i="5"/>
  <c r="M12" i="5"/>
  <c r="L12" i="5"/>
  <c r="L22" i="5"/>
  <c r="M22" i="5"/>
  <c r="M20" i="5"/>
  <c r="L20" i="5"/>
  <c r="M39" i="5"/>
  <c r="L39" i="5"/>
</calcChain>
</file>

<file path=xl/sharedStrings.xml><?xml version="1.0" encoding="utf-8"?>
<sst xmlns="http://schemas.openxmlformats.org/spreadsheetml/2006/main" count="668" uniqueCount="167">
  <si>
    <t>Concessionárias</t>
  </si>
  <si>
    <t>ANTERIOR</t>
  </si>
  <si>
    <t>ATUAL</t>
  </si>
  <si>
    <t>Data de Reajuste</t>
  </si>
  <si>
    <t>PONTA</t>
  </si>
  <si>
    <t>FORA PONTA</t>
  </si>
  <si>
    <t>TUSD</t>
  </si>
  <si>
    <t>TE</t>
  </si>
  <si>
    <t>Resolução</t>
  </si>
  <si>
    <t>Tipo de Reajuste</t>
  </si>
  <si>
    <t>Equatorial PA</t>
  </si>
  <si>
    <t>RES. 3.507, de 05/08/2025</t>
  </si>
  <si>
    <t>Energisa TO (ETO)</t>
  </si>
  <si>
    <t>RES. 3.479, de 01/07/2025</t>
  </si>
  <si>
    <t>Equatorial MA</t>
  </si>
  <si>
    <t>RES. 3.512, de 26/08/2025</t>
  </si>
  <si>
    <t>Energisa AC (EAC)</t>
  </si>
  <si>
    <t>RES. 3.556, de 09/12/2025</t>
  </si>
  <si>
    <t>Energisa RO (ERO)</t>
  </si>
  <si>
    <t>RES. 3.560, de 09/12/2025</t>
  </si>
  <si>
    <t>LIGHT (LIGHT SESA)</t>
  </si>
  <si>
    <t>RES. 3.474, de 17/06/2025</t>
  </si>
  <si>
    <t>RES. 3.571, de 10/03/2026</t>
  </si>
  <si>
    <t>Reajuste</t>
  </si>
  <si>
    <t>Energisa MT (EMT)</t>
  </si>
  <si>
    <t>RES. 3.440, de 01/04/2025</t>
  </si>
  <si>
    <t>RES. 3.581, de 22/04/2026</t>
  </si>
  <si>
    <t>Energisa PB (EPB)</t>
  </si>
  <si>
    <t>RES. 3.518, de 26/08/2025</t>
  </si>
  <si>
    <t>SULGIPE</t>
  </si>
  <si>
    <t>RES. 3.453, de 20/05/2025</t>
  </si>
  <si>
    <t>RES. 3.453, de 20/05/2026</t>
  </si>
  <si>
    <t>Neoenergia PE</t>
  </si>
  <si>
    <t>RES. 3.451, de 29/04/2025</t>
  </si>
  <si>
    <t>RES. 3.583, de 28/04/2026</t>
  </si>
  <si>
    <t>Neoenergia BA (COELBA)</t>
  </si>
  <si>
    <t>RES. 3.443, de 15/04/2025</t>
  </si>
  <si>
    <t>RES. 3.578, de 22/04/2026</t>
  </si>
  <si>
    <t>Equatorial PI</t>
  </si>
  <si>
    <t>RES. 3.555, de 25/11/2025</t>
  </si>
  <si>
    <t>Energisa MS (EMS)</t>
  </si>
  <si>
    <t>RES. 3.441, de 08/04/2025</t>
  </si>
  <si>
    <t>RES. 3.582, de 22/04/2026</t>
  </si>
  <si>
    <t>CEMIG</t>
  </si>
  <si>
    <t>RES. 3.459, de 20/05/2025</t>
  </si>
  <si>
    <t>RES. 3.589, de 26/05/2026</t>
  </si>
  <si>
    <t>Equatorial AL</t>
  </si>
  <si>
    <t>RES. 3.450, de 29/04/2025</t>
  </si>
  <si>
    <t>RES. 3.584, de 28/04/2026</t>
  </si>
  <si>
    <t>COCEL</t>
  </si>
  <si>
    <t>RES. 3.476, de 24/06/2025</t>
  </si>
  <si>
    <t>RGE Sul</t>
  </si>
  <si>
    <t>RES. 3.473, de 17/06/2025</t>
  </si>
  <si>
    <t>Equatorial GO</t>
  </si>
  <si>
    <t>RES. 3.544, de 21/10/2025</t>
  </si>
  <si>
    <t>Neoenergia RN (COSERN)</t>
  </si>
  <si>
    <t>RES. 3.442, de 15/04/2025</t>
  </si>
  <si>
    <t>RES. 3.573, de 22/04/2026</t>
  </si>
  <si>
    <t>CELESC</t>
  </si>
  <si>
    <t>RES. 3.511, de 19/08/2025</t>
  </si>
  <si>
    <t>Roraima Energia (Boa Vista)</t>
  </si>
  <si>
    <t>RES. 3.434, de 21/01/2025</t>
  </si>
  <si>
    <t>RES. 3.565, de 20/01/2026</t>
  </si>
  <si>
    <t>Neoenergia Elektro (ELEKTRO)</t>
  </si>
  <si>
    <t>RES. 3.510, de 19/08/2025</t>
  </si>
  <si>
    <t>COPEL</t>
  </si>
  <si>
    <t>RES. 3.472, de 17/06/2025</t>
  </si>
  <si>
    <t>Enel CE</t>
  </si>
  <si>
    <t>RES. 3.445, de 15/04/2025</t>
  </si>
  <si>
    <t>RES. 3.574, de 22/04/2026</t>
  </si>
  <si>
    <t>Energisa SE (ESE)</t>
  </si>
  <si>
    <t>RES. 3.444, de 15/04/2025</t>
  </si>
  <si>
    <t>RES. 3.575, de 22/04/2026</t>
  </si>
  <si>
    <t>CEEE Equatorial</t>
  </si>
  <si>
    <t>RES. 3.547, de 18/11/2025</t>
  </si>
  <si>
    <t>CPFL Paulista</t>
  </si>
  <si>
    <t>RES. 3.452, de 29/04/2025</t>
  </si>
  <si>
    <t>RES. 3.579, de 22/04/2026</t>
  </si>
  <si>
    <t>CPFL Piratininga</t>
  </si>
  <si>
    <t>RES. 3.543, de 21/10/2025</t>
  </si>
  <si>
    <t>EDP SP</t>
  </si>
  <si>
    <t>RES. 3.541, de 14/10/2025</t>
  </si>
  <si>
    <t>Neoenergia Brasília (CEB)</t>
  </si>
  <si>
    <t>RES. 3.542, de 22/10/2025</t>
  </si>
  <si>
    <t>Enel RJ</t>
  </si>
  <si>
    <t>RES. 3.435, de 11/03/2025</t>
  </si>
  <si>
    <t>RES. 3.570, de 10/03/2026</t>
  </si>
  <si>
    <t>Enel SP (ELETROPAULO)</t>
  </si>
  <si>
    <t>RES. 3.477, de 01/07/2025</t>
  </si>
  <si>
    <t>Amazonas Energia</t>
  </si>
  <si>
    <t>RES. 3.454, de 20/05/2025</t>
  </si>
  <si>
    <t>RES. 3.588, de 19/05/2026</t>
  </si>
  <si>
    <t>Energisa Sul-Sudeste (ESS)</t>
  </si>
  <si>
    <t>RES. 3.480, de 01/07/2025</t>
  </si>
  <si>
    <t>Equatorial AP (CEA)</t>
  </si>
  <si>
    <t>RES. 3.430, de 10/12/2024</t>
  </si>
  <si>
    <t>RES. 3.572, de 07/04/2026</t>
  </si>
  <si>
    <t>CHESP</t>
  </si>
  <si>
    <t>RES. 3.545, de 11/11/2025</t>
  </si>
  <si>
    <t>CPFL Santa Cruz</t>
  </si>
  <si>
    <t>RES. 3.460, de 20/05/2025</t>
  </si>
  <si>
    <t>RES. 3.580, de 22/04/2026</t>
  </si>
  <si>
    <t>Revisão</t>
  </si>
  <si>
    <t>Energisa Minas Rio (EMR)</t>
  </si>
  <si>
    <t>RES. 3.471, de 17/06/2025</t>
  </si>
  <si>
    <t>RES. 3.591, de 16/06/2026</t>
  </si>
  <si>
    <t>EDP ES</t>
  </si>
  <si>
    <t>RES. 3.508, de 05/08/2025</t>
  </si>
  <si>
    <t>FORCEL (Pacto Energia PR)</t>
  </si>
  <si>
    <t>RES. 3.509, de 19/08/2025</t>
  </si>
  <si>
    <t>Estado</t>
  </si>
  <si>
    <t>ICMS</t>
  </si>
  <si>
    <t>PIS/COFINS</t>
  </si>
  <si>
    <t>RANKING
TUSD + TE Ponta - Mercado Cativo</t>
  </si>
  <si>
    <t>TUSD P + TE P</t>
  </si>
  <si>
    <t>S/ Imp</t>
  </si>
  <si>
    <t>C/ Imp</t>
  </si>
  <si>
    <t>Concessionária</t>
  </si>
  <si>
    <t>Tarifa Ponta</t>
  </si>
  <si>
    <t>PA</t>
  </si>
  <si>
    <t>TO</t>
  </si>
  <si>
    <t>MA</t>
  </si>
  <si>
    <t>AC</t>
  </si>
  <si>
    <t>RO</t>
  </si>
  <si>
    <t>RJ</t>
  </si>
  <si>
    <t>MT</t>
  </si>
  <si>
    <t>PB</t>
  </si>
  <si>
    <t>SE</t>
  </si>
  <si>
    <t>PE</t>
  </si>
  <si>
    <t>BA</t>
  </si>
  <si>
    <t>PI</t>
  </si>
  <si>
    <t>MS</t>
  </si>
  <si>
    <t>MG</t>
  </si>
  <si>
    <t>AL</t>
  </si>
  <si>
    <t>PR</t>
  </si>
  <si>
    <t>RS</t>
  </si>
  <si>
    <t>GO</t>
  </si>
  <si>
    <t>RN</t>
  </si>
  <si>
    <t>SC</t>
  </si>
  <si>
    <t>RR</t>
  </si>
  <si>
    <t>SP</t>
  </si>
  <si>
    <t>CE</t>
  </si>
  <si>
    <t>DF</t>
  </si>
  <si>
    <t>AM</t>
  </si>
  <si>
    <t>AP</t>
  </si>
  <si>
    <t>ES</t>
  </si>
  <si>
    <t>Tarifas Mercado Livre de Energia - Energia I50</t>
  </si>
  <si>
    <t>RANKING
TUSD Ponta - Mercado Livre - I5</t>
  </si>
  <si>
    <t>TUSD P</t>
  </si>
  <si>
    <t>RANKING
Tarifas de Energia - TE (Proporcional)</t>
  </si>
  <si>
    <t>TE P</t>
  </si>
  <si>
    <t>TE FP</t>
  </si>
  <si>
    <t>Mercado Cativo</t>
  </si>
  <si>
    <t>Mercado Livre</t>
  </si>
  <si>
    <t>Distribuidora</t>
  </si>
  <si>
    <t>RES. 3.593, de 30/06/2026</t>
  </si>
  <si>
    <t>RES. 3.604, de 24/08/2026</t>
  </si>
  <si>
    <t>RES. 3.595, de 30/06/2026</t>
  </si>
  <si>
    <t>RES. 3.590, de 16/06/2026</t>
  </si>
  <si>
    <t>RES. 3.602, de 18/08/2026</t>
  </si>
  <si>
    <t>RES. 3.605, de 24/08/2026</t>
  </si>
  <si>
    <t>RES. 3.592, de 23/06/2026</t>
  </si>
  <si>
    <t>RES. 3.596, de 30/06/2026</t>
  </si>
  <si>
    <t>RES. 3.599, de 14/07/2026</t>
  </si>
  <si>
    <t>RES. 3.600, de 28/07/2026</t>
  </si>
  <si>
    <t>RES. 3.608, de 15/09/2026</t>
  </si>
  <si>
    <t>RES. 3.603, de 24/08/2026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</si>
</sst>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&quot;R$&quot;\ #,##0.00000_);[Red]\(&quot;R$&quot;\ #,###.00000\)"/>
  </numFmts>
  <fonts count="8">
    <font>
      <sz val="10"/>
      <color theme="1"/>
      <name val="Calibri"/>
      <charset val="134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rgb="FFA6A6A6"/>
      </patternFill>
    </fill>
    <fill>
      <patternFill patternType="solid">
        <fgColor theme="4" tint="0.59999389629810485"/>
        <bgColor rgb="FFB7DEE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79992065187536243"/>
        <bgColor indexed="64"/>
      </patternFill>
    </fill>
  </fills>
  <borders count="2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0" fontId="0" fillId="0" borderId="8" xfId="0" applyBorder="1">
      <alignment vertical="center"/>
    </xf>
    <xf numFmtId="164" fontId="0" fillId="0" borderId="1" xfId="1" applyNumberFormat="1" applyFont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165" fontId="0" fillId="7" borderId="8" xfId="0" applyNumberFormat="1" applyFill="1" applyBorder="1">
      <alignment vertical="center"/>
    </xf>
    <xf numFmtId="165" fontId="0" fillId="7" borderId="10" xfId="0" applyNumberFormat="1" applyFill="1" applyBorder="1">
      <alignment vertical="center"/>
    </xf>
    <xf numFmtId="165" fontId="0" fillId="8" borderId="11" xfId="0" applyNumberFormat="1" applyFill="1" applyBorder="1">
      <alignment vertical="center"/>
    </xf>
    <xf numFmtId="165" fontId="0" fillId="8" borderId="10" xfId="0" applyNumberFormat="1" applyFill="1" applyBorder="1">
      <alignment vertical="center"/>
    </xf>
    <xf numFmtId="10" fontId="0" fillId="0" borderId="12" xfId="1" applyNumberFormat="1" applyFont="1" applyBorder="1" applyAlignment="1">
      <alignment vertical="center"/>
    </xf>
    <xf numFmtId="0" fontId="0" fillId="0" borderId="0" xfId="0" applyAlignment="1">
      <alignment horizontal="left" vertical="center"/>
    </xf>
    <xf numFmtId="0" fontId="4" fillId="0" borderId="8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 applyAlignment="1">
      <alignment horizontal="center" vertical="center"/>
    </xf>
    <xf numFmtId="164" fontId="0" fillId="0" borderId="14" xfId="1" applyNumberFormat="1" applyFont="1" applyBorder="1" applyAlignment="1">
      <alignment horizontal="center" vertical="center"/>
    </xf>
    <xf numFmtId="10" fontId="0" fillId="0" borderId="15" xfId="1" applyNumberFormat="1" applyFont="1" applyBorder="1" applyAlignment="1">
      <alignment horizontal="center" vertical="center"/>
    </xf>
    <xf numFmtId="165" fontId="0" fillId="7" borderId="13" xfId="0" applyNumberFormat="1" applyFill="1" applyBorder="1">
      <alignment vertical="center"/>
    </xf>
    <xf numFmtId="165" fontId="0" fillId="7" borderId="16" xfId="0" applyNumberFormat="1" applyFill="1" applyBorder="1">
      <alignment vertical="center"/>
    </xf>
    <xf numFmtId="165" fontId="0" fillId="8" borderId="17" xfId="0" applyNumberFormat="1" applyFill="1" applyBorder="1">
      <alignment vertical="center"/>
    </xf>
    <xf numFmtId="165" fontId="0" fillId="8" borderId="16" xfId="0" applyNumberFormat="1" applyFill="1" applyBorder="1">
      <alignment vertical="center"/>
    </xf>
    <xf numFmtId="10" fontId="0" fillId="0" borderId="18" xfId="1" applyNumberFormat="1" applyFont="1" applyBorder="1" applyAlignment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165" fontId="4" fillId="0" borderId="16" xfId="0" applyNumberFormat="1" applyFont="1" applyBorder="1" applyAlignment="1">
      <alignment horizontal="center" vertical="center"/>
    </xf>
    <xf numFmtId="165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4" borderId="8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0" fillId="0" borderId="20" xfId="0" applyBorder="1">
      <alignment vertical="center"/>
    </xf>
    <xf numFmtId="10" fontId="0" fillId="0" borderId="8" xfId="1" applyNumberFormat="1" applyFont="1" applyFill="1" applyBorder="1">
      <alignment vertical="center"/>
    </xf>
    <xf numFmtId="10" fontId="0" fillId="0" borderId="10" xfId="1" applyNumberFormat="1" applyFont="1" applyFill="1" applyBorder="1">
      <alignment vertical="center"/>
    </xf>
    <xf numFmtId="0" fontId="0" fillId="0" borderId="21" xfId="0" applyBorder="1">
      <alignment vertical="center"/>
    </xf>
    <xf numFmtId="10" fontId="0" fillId="0" borderId="13" xfId="1" applyNumberFormat="1" applyFont="1" applyFill="1" applyBorder="1">
      <alignment vertical="center"/>
    </xf>
    <xf numFmtId="10" fontId="0" fillId="0" borderId="16" xfId="1" applyNumberFormat="1" applyFont="1" applyFill="1" applyBorder="1">
      <alignment vertical="center"/>
    </xf>
    <xf numFmtId="0" fontId="5" fillId="0" borderId="0" xfId="0" applyFont="1">
      <alignment vertic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65" fontId="0" fillId="7" borderId="1" xfId="0" applyNumberFormat="1" applyFill="1" applyBorder="1">
      <alignment vertical="center"/>
    </xf>
    <xf numFmtId="0" fontId="0" fillId="7" borderId="9" xfId="0" applyFill="1" applyBorder="1">
      <alignment vertical="center"/>
    </xf>
    <xf numFmtId="165" fontId="0" fillId="8" borderId="8" xfId="0" applyNumberFormat="1" applyFill="1" applyBorder="1">
      <alignment vertical="center"/>
    </xf>
    <xf numFmtId="165" fontId="0" fillId="8" borderId="1" xfId="0" applyNumberFormat="1" applyFill="1" applyBorder="1">
      <alignment vertical="center"/>
    </xf>
    <xf numFmtId="0" fontId="0" fillId="8" borderId="1" xfId="0" applyFill="1" applyBorder="1">
      <alignment vertical="center"/>
    </xf>
    <xf numFmtId="0" fontId="0" fillId="8" borderId="10" xfId="0" applyFill="1" applyBorder="1">
      <alignment vertical="center"/>
    </xf>
    <xf numFmtId="0" fontId="6" fillId="0" borderId="0" xfId="0" applyFont="1">
      <alignment vertical="center"/>
    </xf>
    <xf numFmtId="0" fontId="5" fillId="0" borderId="20" xfId="0" applyFont="1" applyBorder="1">
      <alignment vertical="center"/>
    </xf>
    <xf numFmtId="165" fontId="5" fillId="7" borderId="8" xfId="0" applyNumberFormat="1" applyFont="1" applyFill="1" applyBorder="1">
      <alignment vertical="center"/>
    </xf>
    <xf numFmtId="165" fontId="5" fillId="7" borderId="1" xfId="0" applyNumberFormat="1" applyFont="1" applyFill="1" applyBorder="1">
      <alignment vertical="center"/>
    </xf>
    <xf numFmtId="0" fontId="5" fillId="7" borderId="9" xfId="0" applyFont="1" applyFill="1" applyBorder="1">
      <alignment vertical="center"/>
    </xf>
    <xf numFmtId="165" fontId="5" fillId="8" borderId="8" xfId="0" applyNumberFormat="1" applyFont="1" applyFill="1" applyBorder="1">
      <alignment vertical="center"/>
    </xf>
    <xf numFmtId="165" fontId="5" fillId="8" borderId="1" xfId="0" applyNumberFormat="1" applyFont="1" applyFill="1" applyBorder="1">
      <alignment vertical="center"/>
    </xf>
    <xf numFmtId="0" fontId="5" fillId="8" borderId="1" xfId="0" applyFont="1" applyFill="1" applyBorder="1">
      <alignment vertical="center"/>
    </xf>
    <xf numFmtId="0" fontId="5" fillId="8" borderId="10" xfId="0" applyFont="1" applyFill="1" applyBorder="1">
      <alignment vertical="center"/>
    </xf>
    <xf numFmtId="165" fontId="0" fillId="7" borderId="14" xfId="0" applyNumberFormat="1" applyFill="1" applyBorder="1">
      <alignment vertical="center"/>
    </xf>
    <xf numFmtId="0" fontId="0" fillId="7" borderId="15" xfId="0" applyFill="1" applyBorder="1">
      <alignment vertical="center"/>
    </xf>
    <xf numFmtId="165" fontId="0" fillId="8" borderId="13" xfId="0" applyNumberFormat="1" applyFill="1" applyBorder="1">
      <alignment vertical="center"/>
    </xf>
    <xf numFmtId="165" fontId="0" fillId="8" borderId="14" xfId="0" applyNumberFormat="1" applyFill="1" applyBorder="1">
      <alignment vertical="center"/>
    </xf>
    <xf numFmtId="0" fontId="0" fillId="8" borderId="14" xfId="0" applyFill="1" applyBorder="1">
      <alignment vertical="center"/>
    </xf>
    <xf numFmtId="0" fontId="0" fillId="8" borderId="16" xfId="0" applyFill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56"/>
  <sheetViews>
    <sheetView showGridLines="0" workbookViewId="0">
      <selection activeCell="H5" sqref="H5"/>
    </sheetView>
  </sheetViews>
  <sheetFormatPr defaultColWidth="9.140625" defaultRowHeight="12.75"/>
  <cols>
    <col min="1" max="1" width="2.5703125" customWidth="1"/>
    <col min="2" max="2" width="36.85546875" customWidth="1"/>
    <col min="3" max="6" width="11" customWidth="1"/>
    <col min="7" max="7" width="23.7109375" customWidth="1"/>
    <col min="8" max="11" width="11" customWidth="1"/>
    <col min="12" max="12" width="23.7109375" customWidth="1"/>
    <col min="13" max="13" width="17" customWidth="1"/>
    <col min="14" max="14" width="11.140625" customWidth="1"/>
  </cols>
  <sheetData>
    <row r="2" spans="2:15" ht="15">
      <c r="B2" s="96" t="s">
        <v>0</v>
      </c>
      <c r="C2" s="99" t="s">
        <v>1</v>
      </c>
      <c r="D2" s="100"/>
      <c r="E2" s="100"/>
      <c r="F2" s="100"/>
      <c r="G2" s="101"/>
      <c r="H2" s="102" t="s">
        <v>2</v>
      </c>
      <c r="I2" s="103"/>
      <c r="J2" s="103"/>
      <c r="K2" s="103"/>
      <c r="L2" s="103"/>
      <c r="M2" s="104"/>
      <c r="O2" s="98" t="s">
        <v>3</v>
      </c>
    </row>
    <row r="3" spans="2:15" ht="15">
      <c r="B3" s="97"/>
      <c r="C3" s="105" t="s">
        <v>4</v>
      </c>
      <c r="D3" s="106"/>
      <c r="E3" s="106" t="s">
        <v>5</v>
      </c>
      <c r="F3" s="106"/>
      <c r="G3" s="49"/>
      <c r="H3" s="107" t="s">
        <v>4</v>
      </c>
      <c r="I3" s="108"/>
      <c r="J3" s="109" t="s">
        <v>5</v>
      </c>
      <c r="K3" s="110"/>
      <c r="L3" s="51"/>
      <c r="M3" s="52"/>
      <c r="O3" s="98"/>
    </row>
    <row r="4" spans="2:15" ht="15">
      <c r="B4" s="97"/>
      <c r="C4" s="47" t="s">
        <v>6</v>
      </c>
      <c r="D4" s="48" t="s">
        <v>7</v>
      </c>
      <c r="E4" s="48" t="s">
        <v>6</v>
      </c>
      <c r="F4" s="48" t="s">
        <v>7</v>
      </c>
      <c r="G4" s="49" t="s">
        <v>8</v>
      </c>
      <c r="H4" s="50" t="s">
        <v>6</v>
      </c>
      <c r="I4" s="51" t="s">
        <v>7</v>
      </c>
      <c r="J4" s="51" t="s">
        <v>6</v>
      </c>
      <c r="K4" s="51" t="s">
        <v>7</v>
      </c>
      <c r="L4" s="51" t="s">
        <v>8</v>
      </c>
      <c r="M4" s="52" t="s">
        <v>9</v>
      </c>
      <c r="O4" s="98"/>
    </row>
    <row r="5" spans="2:15">
      <c r="B5" s="40" t="s">
        <v>10</v>
      </c>
      <c r="C5" s="15">
        <v>2.5825800000000001</v>
      </c>
      <c r="D5" s="53">
        <v>0.43857000000000002</v>
      </c>
      <c r="E5" s="53">
        <v>0.15185999999999999</v>
      </c>
      <c r="F5" s="53">
        <v>0.26893</v>
      </c>
      <c r="G5" s="54" t="s">
        <v>11</v>
      </c>
      <c r="H5" s="55">
        <v>2.52047</v>
      </c>
      <c r="I5" s="56">
        <v>0.49130000000000001</v>
      </c>
      <c r="J5" s="56">
        <v>0.19197</v>
      </c>
      <c r="K5" s="56">
        <v>0.28527999999999998</v>
      </c>
      <c r="L5" s="57" t="s">
        <v>165</v>
      </c>
      <c r="M5" s="58" t="s">
        <v>23</v>
      </c>
      <c r="N5" s="59" t="str">
        <f>IF(L5="",MID(G5,FIND("de ",G5)+3,10),MID(L5,FIND("de ",L5)+3,10))</f>
        <v>15/09/2026</v>
      </c>
      <c r="O5">
        <f ca="1">TODAY()-N5</f>
        <v>7</v>
      </c>
    </row>
    <row r="6" spans="2:15">
      <c r="B6" s="40" t="s">
        <v>12</v>
      </c>
      <c r="C6" s="15">
        <v>2.0380099999999999</v>
      </c>
      <c r="D6" s="53">
        <v>0.44314999999999999</v>
      </c>
      <c r="E6" s="53">
        <v>0.10693</v>
      </c>
      <c r="F6" s="53">
        <v>0.27255000000000001</v>
      </c>
      <c r="G6" s="54" t="s">
        <v>13</v>
      </c>
      <c r="H6" s="55">
        <v>2.0879699999999999</v>
      </c>
      <c r="I6" s="56">
        <v>0.48892000000000002</v>
      </c>
      <c r="J6" s="56">
        <v>0.13250000000000001</v>
      </c>
      <c r="K6" s="56">
        <v>0.29608000000000001</v>
      </c>
      <c r="L6" s="57" t="s">
        <v>155</v>
      </c>
      <c r="M6" s="58" t="s">
        <v>23</v>
      </c>
      <c r="N6" s="59" t="str">
        <f t="shared" ref="N6:N44" si="0">IF(L6="",MID(G6,FIND("de ",G6)+3,10),MID(L6,FIND("de ",L6)+3,10))</f>
        <v>30/06/2026</v>
      </c>
      <c r="O6">
        <f t="shared" ref="O6:O44" ca="1" si="1">TODAY()-N6</f>
        <v>84</v>
      </c>
    </row>
    <row r="7" spans="2:15">
      <c r="B7" s="40" t="s">
        <v>14</v>
      </c>
      <c r="C7" s="15">
        <v>2.3774700000000002</v>
      </c>
      <c r="D7" s="53">
        <v>0.43069000000000002</v>
      </c>
      <c r="E7" s="53">
        <v>0.11615</v>
      </c>
      <c r="F7" s="53">
        <v>0.26656000000000002</v>
      </c>
      <c r="G7" s="54" t="s">
        <v>15</v>
      </c>
      <c r="H7" s="55">
        <v>2.39324</v>
      </c>
      <c r="I7" s="56">
        <v>0.47205999999999998</v>
      </c>
      <c r="J7" s="56">
        <v>0.15512999999999999</v>
      </c>
      <c r="K7" s="56">
        <v>0.27606000000000003</v>
      </c>
      <c r="L7" s="57" t="s">
        <v>156</v>
      </c>
      <c r="M7" s="58" t="s">
        <v>23</v>
      </c>
      <c r="N7" s="59" t="str">
        <f t="shared" si="0"/>
        <v>24/08/2026</v>
      </c>
      <c r="O7">
        <f t="shared" ca="1" si="1"/>
        <v>29</v>
      </c>
    </row>
    <row r="8" spans="2:15">
      <c r="B8" s="40" t="s">
        <v>16</v>
      </c>
      <c r="C8" s="15">
        <v>2.75366</v>
      </c>
      <c r="D8" s="53">
        <v>0.28832999999999998</v>
      </c>
      <c r="E8" s="53">
        <v>0.14363300000000001</v>
      </c>
      <c r="F8" s="53">
        <v>0.14152999999999999</v>
      </c>
      <c r="G8" s="54" t="s">
        <v>17</v>
      </c>
      <c r="H8" s="55"/>
      <c r="I8" s="56"/>
      <c r="J8" s="56"/>
      <c r="K8" s="56"/>
      <c r="L8" s="57"/>
      <c r="M8" s="58"/>
      <c r="N8" s="59" t="str">
        <f t="shared" si="0"/>
        <v>09/12/2025</v>
      </c>
      <c r="O8">
        <f t="shared" ca="1" si="1"/>
        <v>287</v>
      </c>
    </row>
    <row r="9" spans="2:15">
      <c r="B9" s="40" t="s">
        <v>18</v>
      </c>
      <c r="C9" s="15">
        <v>2.5299</v>
      </c>
      <c r="D9" s="53">
        <v>0.38579999999999998</v>
      </c>
      <c r="E9" s="53">
        <v>0.15417</v>
      </c>
      <c r="F9" s="53">
        <v>0.20039000000000001</v>
      </c>
      <c r="G9" s="54" t="s">
        <v>19</v>
      </c>
      <c r="H9" s="55"/>
      <c r="I9" s="56"/>
      <c r="J9" s="56"/>
      <c r="K9" s="56"/>
      <c r="L9" s="57"/>
      <c r="M9" s="58"/>
      <c r="N9" s="59" t="str">
        <f t="shared" si="0"/>
        <v>09/12/2025</v>
      </c>
      <c r="O9">
        <f t="shared" ca="1" si="1"/>
        <v>287</v>
      </c>
    </row>
    <row r="10" spans="2:15">
      <c r="B10" s="40" t="s">
        <v>20</v>
      </c>
      <c r="C10" s="15">
        <v>1.1228100000000001</v>
      </c>
      <c r="D10" s="53">
        <v>0.46099000000000001</v>
      </c>
      <c r="E10" s="53">
        <v>0.1615</v>
      </c>
      <c r="F10" s="53">
        <v>0.29436000000000001</v>
      </c>
      <c r="G10" s="54" t="s">
        <v>21</v>
      </c>
      <c r="H10" s="55">
        <v>1.17632</v>
      </c>
      <c r="I10" s="56">
        <v>0.43741999999999998</v>
      </c>
      <c r="J10" s="56">
        <v>0.21501000000000001</v>
      </c>
      <c r="K10" s="56">
        <v>0.28537000000000001</v>
      </c>
      <c r="L10" s="57" t="s">
        <v>22</v>
      </c>
      <c r="M10" s="58" t="s">
        <v>23</v>
      </c>
      <c r="N10" s="59" t="str">
        <f t="shared" si="0"/>
        <v>10/03/2026</v>
      </c>
      <c r="O10">
        <f t="shared" ca="1" si="1"/>
        <v>196</v>
      </c>
    </row>
    <row r="11" spans="2:15" s="46" customFormat="1">
      <c r="B11" s="60" t="s">
        <v>24</v>
      </c>
      <c r="C11" s="61">
        <v>1.71329</v>
      </c>
      <c r="D11" s="62">
        <v>0.47965999999999998</v>
      </c>
      <c r="E11" s="62">
        <v>0.13105</v>
      </c>
      <c r="F11" s="62">
        <v>0.28461999999999998</v>
      </c>
      <c r="G11" s="63" t="s">
        <v>25</v>
      </c>
      <c r="H11" s="64">
        <v>1.8079799999999999</v>
      </c>
      <c r="I11" s="65">
        <v>0.48920000000000002</v>
      </c>
      <c r="J11" s="65">
        <v>0.16594</v>
      </c>
      <c r="K11" s="65">
        <v>0.28445999999999999</v>
      </c>
      <c r="L11" s="66" t="s">
        <v>26</v>
      </c>
      <c r="M11" s="67" t="s">
        <v>23</v>
      </c>
      <c r="N11" s="59" t="str">
        <f t="shared" si="0"/>
        <v>22/04/2026</v>
      </c>
      <c r="O11" s="46">
        <f t="shared" ca="1" si="1"/>
        <v>153</v>
      </c>
    </row>
    <row r="12" spans="2:15">
      <c r="B12" s="40" t="s">
        <v>27</v>
      </c>
      <c r="C12" s="15">
        <v>1.2815399999999999</v>
      </c>
      <c r="D12" s="53">
        <v>0.40487000000000001</v>
      </c>
      <c r="E12" s="53">
        <v>9.851E-2</v>
      </c>
      <c r="F12" s="53">
        <v>0.2407</v>
      </c>
      <c r="G12" s="54" t="s">
        <v>28</v>
      </c>
      <c r="H12" s="55">
        <v>1.2899</v>
      </c>
      <c r="I12" s="56">
        <v>0.42819000000000002</v>
      </c>
      <c r="J12" s="56">
        <v>0.12651999999999999</v>
      </c>
      <c r="K12" s="56">
        <v>0.24537</v>
      </c>
      <c r="L12" s="57" t="s">
        <v>166</v>
      </c>
      <c r="M12" s="58" t="s">
        <v>23</v>
      </c>
      <c r="N12" s="59" t="str">
        <f t="shared" si="0"/>
        <v>24/08/2026</v>
      </c>
      <c r="O12">
        <f t="shared" ca="1" si="1"/>
        <v>29</v>
      </c>
    </row>
    <row r="13" spans="2:15">
      <c r="B13" s="40" t="s">
        <v>29</v>
      </c>
      <c r="C13" s="15">
        <v>1.7029399999999999</v>
      </c>
      <c r="D13" s="53">
        <v>0.35235</v>
      </c>
      <c r="E13" s="53">
        <v>8.4930000000000005E-2</v>
      </c>
      <c r="F13" s="53">
        <v>0.21751000000000001</v>
      </c>
      <c r="G13" s="54" t="s">
        <v>30</v>
      </c>
      <c r="H13" s="55">
        <v>1.71878</v>
      </c>
      <c r="I13" s="56">
        <v>0.36613000000000001</v>
      </c>
      <c r="J13" s="56">
        <v>0.12232999999999999</v>
      </c>
      <c r="K13" s="56">
        <v>0.22247</v>
      </c>
      <c r="L13" s="57" t="s">
        <v>31</v>
      </c>
      <c r="M13" s="58" t="s">
        <v>23</v>
      </c>
      <c r="N13" s="59" t="str">
        <f t="shared" si="0"/>
        <v>20/05/2026</v>
      </c>
      <c r="O13">
        <f t="shared" ca="1" si="1"/>
        <v>125</v>
      </c>
    </row>
    <row r="14" spans="2:15">
      <c r="B14" s="40" t="s">
        <v>32</v>
      </c>
      <c r="C14" s="15">
        <v>1.24441</v>
      </c>
      <c r="D14" s="53">
        <v>0.43670999999999999</v>
      </c>
      <c r="E14" s="53">
        <v>9.468E-2</v>
      </c>
      <c r="F14" s="53">
        <v>0.2661</v>
      </c>
      <c r="G14" s="54" t="s">
        <v>33</v>
      </c>
      <c r="H14" s="55">
        <v>1.1280600000000001</v>
      </c>
      <c r="I14" s="56">
        <v>0.43769999999999998</v>
      </c>
      <c r="J14" s="56">
        <v>0.12359000000000001</v>
      </c>
      <c r="K14" s="56">
        <v>0.25527</v>
      </c>
      <c r="L14" s="57" t="s">
        <v>34</v>
      </c>
      <c r="M14" s="58" t="s">
        <v>23</v>
      </c>
      <c r="N14" s="59" t="str">
        <f t="shared" si="0"/>
        <v>28/04/2026</v>
      </c>
      <c r="O14">
        <f t="shared" ca="1" si="1"/>
        <v>147</v>
      </c>
    </row>
    <row r="15" spans="2:15">
      <c r="B15" s="40" t="s">
        <v>35</v>
      </c>
      <c r="C15" s="15">
        <v>2.67604</v>
      </c>
      <c r="D15" s="53">
        <v>0.42775999999999997</v>
      </c>
      <c r="E15" s="53">
        <v>0.10142</v>
      </c>
      <c r="F15" s="53">
        <v>0.26247999999999999</v>
      </c>
      <c r="G15" s="54" t="s">
        <v>36</v>
      </c>
      <c r="H15" s="55">
        <v>2.75779</v>
      </c>
      <c r="I15" s="56">
        <v>0.44144</v>
      </c>
      <c r="J15" s="56">
        <v>0.1391</v>
      </c>
      <c r="K15" s="56">
        <v>0.25224000000000002</v>
      </c>
      <c r="L15" s="57" t="s">
        <v>37</v>
      </c>
      <c r="M15" s="58" t="s">
        <v>23</v>
      </c>
      <c r="N15" s="59" t="str">
        <f t="shared" si="0"/>
        <v>22/04/2026</v>
      </c>
      <c r="O15">
        <f t="shared" ca="1" si="1"/>
        <v>153</v>
      </c>
    </row>
    <row r="16" spans="2:15">
      <c r="B16" s="40" t="s">
        <v>38</v>
      </c>
      <c r="C16" s="15">
        <v>2.2966299999999999</v>
      </c>
      <c r="D16" s="53">
        <v>0.46024999999999999</v>
      </c>
      <c r="E16" s="53">
        <v>0.14021</v>
      </c>
      <c r="F16" s="53">
        <v>0.28170000000000001</v>
      </c>
      <c r="G16" s="54" t="s">
        <v>39</v>
      </c>
      <c r="H16" s="55"/>
      <c r="I16" s="56"/>
      <c r="J16" s="56"/>
      <c r="K16" s="56"/>
      <c r="L16" s="57"/>
      <c r="M16" s="58"/>
      <c r="N16" s="59" t="str">
        <f t="shared" si="0"/>
        <v>25/11/2025</v>
      </c>
      <c r="O16">
        <f t="shared" ca="1" si="1"/>
        <v>301</v>
      </c>
    </row>
    <row r="17" spans="2:15" s="46" customFormat="1">
      <c r="B17" s="60" t="s">
        <v>40</v>
      </c>
      <c r="C17" s="61">
        <v>1.80993</v>
      </c>
      <c r="D17" s="62">
        <v>0.44621</v>
      </c>
      <c r="E17" s="62">
        <v>0.12998000000000001</v>
      </c>
      <c r="F17" s="62">
        <v>0.26962999999999998</v>
      </c>
      <c r="G17" s="63" t="s">
        <v>41</v>
      </c>
      <c r="H17" s="64">
        <v>1.8920300000000001</v>
      </c>
      <c r="I17" s="65">
        <v>0.48948000000000003</v>
      </c>
      <c r="J17" s="65">
        <v>0.17971000000000001</v>
      </c>
      <c r="K17" s="65">
        <v>0.30532999999999999</v>
      </c>
      <c r="L17" s="66" t="s">
        <v>42</v>
      </c>
      <c r="M17" s="67" t="s">
        <v>23</v>
      </c>
      <c r="N17" s="59" t="str">
        <f t="shared" si="0"/>
        <v>22/04/2026</v>
      </c>
      <c r="O17" s="46">
        <f t="shared" ca="1" si="1"/>
        <v>153</v>
      </c>
    </row>
    <row r="18" spans="2:15">
      <c r="B18" s="40" t="s">
        <v>43</v>
      </c>
      <c r="C18" s="15">
        <v>1.80905</v>
      </c>
      <c r="D18" s="53">
        <v>0.47591</v>
      </c>
      <c r="E18" s="53">
        <v>0.15323000000000001</v>
      </c>
      <c r="F18" s="53">
        <v>0.29676999999999998</v>
      </c>
      <c r="G18" s="54" t="s">
        <v>44</v>
      </c>
      <c r="H18" s="55">
        <v>1.91296</v>
      </c>
      <c r="I18" s="56">
        <v>0.47421999999999997</v>
      </c>
      <c r="J18" s="56">
        <v>0.18579000000000001</v>
      </c>
      <c r="K18" s="56">
        <v>0.29498000000000002</v>
      </c>
      <c r="L18" s="57" t="s">
        <v>45</v>
      </c>
      <c r="M18" s="58" t="s">
        <v>23</v>
      </c>
      <c r="N18" s="59" t="str">
        <f t="shared" si="0"/>
        <v>26/05/2026</v>
      </c>
      <c r="O18">
        <f t="shared" ca="1" si="1"/>
        <v>119</v>
      </c>
    </row>
    <row r="19" spans="2:15">
      <c r="B19" s="40" t="s">
        <v>46</v>
      </c>
      <c r="C19" s="15">
        <v>1.8419300000000001</v>
      </c>
      <c r="D19" s="53">
        <v>0.38757000000000003</v>
      </c>
      <c r="E19" s="53">
        <v>0.13850999999999999</v>
      </c>
      <c r="F19" s="53">
        <v>0.22405</v>
      </c>
      <c r="G19" s="54" t="s">
        <v>47</v>
      </c>
      <c r="H19" s="55">
        <v>1.87514</v>
      </c>
      <c r="I19" s="56">
        <v>0.38318999999999998</v>
      </c>
      <c r="J19" s="56">
        <v>0.17194999999999999</v>
      </c>
      <c r="K19" s="56">
        <v>0.19234999999999999</v>
      </c>
      <c r="L19" s="57" t="s">
        <v>48</v>
      </c>
      <c r="M19" s="58" t="s">
        <v>23</v>
      </c>
      <c r="N19" s="59" t="str">
        <f t="shared" si="0"/>
        <v>28/04/2026</v>
      </c>
      <c r="O19">
        <f t="shared" ca="1" si="1"/>
        <v>147</v>
      </c>
    </row>
    <row r="20" spans="2:15">
      <c r="B20" s="40" t="s">
        <v>49</v>
      </c>
      <c r="C20" s="15">
        <v>1.1046</v>
      </c>
      <c r="D20" s="53">
        <v>0.40262999999999999</v>
      </c>
      <c r="E20" s="53">
        <v>0.10789</v>
      </c>
      <c r="F20" s="53">
        <v>0.25411</v>
      </c>
      <c r="G20" s="54" t="s">
        <v>50</v>
      </c>
      <c r="H20" s="55">
        <v>1.3973100000000001</v>
      </c>
      <c r="I20" s="56">
        <v>0.44749</v>
      </c>
      <c r="J20" s="56">
        <v>0.12436</v>
      </c>
      <c r="K20" s="56">
        <v>0.27903</v>
      </c>
      <c r="L20" s="57" t="s">
        <v>157</v>
      </c>
      <c r="M20" s="58" t="s">
        <v>102</v>
      </c>
      <c r="N20" s="59" t="str">
        <f t="shared" si="0"/>
        <v>30/06/2026</v>
      </c>
      <c r="O20">
        <f t="shared" ca="1" si="1"/>
        <v>84</v>
      </c>
    </row>
    <row r="21" spans="2:15">
      <c r="B21" s="40" t="s">
        <v>51</v>
      </c>
      <c r="C21" s="15">
        <v>1.6930400000000001</v>
      </c>
      <c r="D21" s="53">
        <v>0.45822000000000002</v>
      </c>
      <c r="E21" s="53">
        <v>0.11938</v>
      </c>
      <c r="F21" s="53">
        <v>0.28504000000000002</v>
      </c>
      <c r="G21" s="54" t="s">
        <v>52</v>
      </c>
      <c r="H21" s="55">
        <v>1.8349</v>
      </c>
      <c r="I21" s="56">
        <v>0.54657</v>
      </c>
      <c r="J21" s="56">
        <v>0.15776999999999999</v>
      </c>
      <c r="K21" s="56">
        <v>0.33872999999999998</v>
      </c>
      <c r="L21" s="57" t="s">
        <v>158</v>
      </c>
      <c r="M21" s="58" t="s">
        <v>23</v>
      </c>
      <c r="N21" s="59" t="str">
        <f t="shared" si="0"/>
        <v>16/06/2026</v>
      </c>
      <c r="O21">
        <f t="shared" ca="1" si="1"/>
        <v>98</v>
      </c>
    </row>
    <row r="22" spans="2:15">
      <c r="B22" s="40" t="s">
        <v>53</v>
      </c>
      <c r="C22" s="15">
        <v>1.6561600000000001</v>
      </c>
      <c r="D22" s="53">
        <v>0.48488999999999999</v>
      </c>
      <c r="E22" s="53">
        <v>0.14960999999999999</v>
      </c>
      <c r="F22" s="53">
        <v>0.30386999999999997</v>
      </c>
      <c r="G22" s="54" t="s">
        <v>54</v>
      </c>
      <c r="H22" s="55"/>
      <c r="I22" s="56"/>
      <c r="J22" s="56"/>
      <c r="K22" s="56"/>
      <c r="L22" s="57"/>
      <c r="M22" s="58"/>
      <c r="N22" s="59" t="str">
        <f t="shared" si="0"/>
        <v>21/10/2025</v>
      </c>
      <c r="O22">
        <f t="shared" ca="1" si="1"/>
        <v>336</v>
      </c>
    </row>
    <row r="23" spans="2:15">
      <c r="B23" s="40" t="s">
        <v>55</v>
      </c>
      <c r="C23" s="15">
        <v>1.86781</v>
      </c>
      <c r="D23" s="53">
        <v>0.48577999999999999</v>
      </c>
      <c r="E23" s="53">
        <v>9.1560000000000002E-2</v>
      </c>
      <c r="F23" s="53">
        <v>0.29476000000000002</v>
      </c>
      <c r="G23" s="54" t="s">
        <v>56</v>
      </c>
      <c r="H23" s="55">
        <v>2.00969</v>
      </c>
      <c r="I23" s="56">
        <v>0.48553000000000002</v>
      </c>
      <c r="J23" s="56">
        <v>0.11719</v>
      </c>
      <c r="K23" s="56">
        <v>0.28256999999999999</v>
      </c>
      <c r="L23" s="57" t="s">
        <v>57</v>
      </c>
      <c r="M23" s="58" t="s">
        <v>23</v>
      </c>
      <c r="N23" s="59" t="str">
        <f t="shared" si="0"/>
        <v>22/04/2026</v>
      </c>
      <c r="O23">
        <f t="shared" ca="1" si="1"/>
        <v>153</v>
      </c>
    </row>
    <row r="24" spans="2:15">
      <c r="B24" s="40" t="s">
        <v>58</v>
      </c>
      <c r="C24" s="15">
        <v>1.06941</v>
      </c>
      <c r="D24" s="53">
        <v>0.48363</v>
      </c>
      <c r="E24" s="53">
        <v>0.14435000000000001</v>
      </c>
      <c r="F24" s="53">
        <v>0.30123</v>
      </c>
      <c r="G24" s="54" t="s">
        <v>59</v>
      </c>
      <c r="H24" s="55">
        <v>1.1892400000000001</v>
      </c>
      <c r="I24" s="56">
        <v>0.52710999999999997</v>
      </c>
      <c r="J24" s="56">
        <v>0.17119000000000001</v>
      </c>
      <c r="K24" s="56">
        <v>0.32907999999999998</v>
      </c>
      <c r="L24" s="57" t="s">
        <v>159</v>
      </c>
      <c r="M24" s="58" t="s">
        <v>102</v>
      </c>
      <c r="N24" s="59" t="str">
        <f t="shared" si="0"/>
        <v>18/08/2026</v>
      </c>
      <c r="O24">
        <f t="shared" ca="1" si="1"/>
        <v>35</v>
      </c>
    </row>
    <row r="25" spans="2:15">
      <c r="B25" s="40" t="s">
        <v>60</v>
      </c>
      <c r="C25" s="15">
        <v>1.2664899999999999</v>
      </c>
      <c r="D25" s="53">
        <v>0.50138000000000005</v>
      </c>
      <c r="E25" s="53">
        <v>9.8409999999999997E-2</v>
      </c>
      <c r="F25" s="53">
        <v>0.28832000000000002</v>
      </c>
      <c r="G25" s="54" t="s">
        <v>61</v>
      </c>
      <c r="H25" s="55">
        <v>1.6069599999999999</v>
      </c>
      <c r="I25" s="56">
        <v>0.52553000000000005</v>
      </c>
      <c r="J25" s="56">
        <v>0.15459000000000001</v>
      </c>
      <c r="K25" s="56">
        <v>0.32733000000000001</v>
      </c>
      <c r="L25" s="57" t="s">
        <v>62</v>
      </c>
      <c r="M25" s="58" t="s">
        <v>23</v>
      </c>
      <c r="N25" s="59" t="str">
        <f t="shared" si="0"/>
        <v>20/01/2026</v>
      </c>
      <c r="O25">
        <f t="shared" ca="1" si="1"/>
        <v>245</v>
      </c>
    </row>
    <row r="26" spans="2:15">
      <c r="B26" s="40" t="s">
        <v>63</v>
      </c>
      <c r="C26" s="15">
        <v>1.92309</v>
      </c>
      <c r="D26" s="53">
        <v>0.48004000000000002</v>
      </c>
      <c r="E26" s="53">
        <v>0.13852</v>
      </c>
      <c r="F26" s="53">
        <v>0.29731999999999997</v>
      </c>
      <c r="G26" s="54" t="s">
        <v>64</v>
      </c>
      <c r="H26" s="55">
        <v>1.7072799999999999</v>
      </c>
      <c r="I26" s="56">
        <v>0.49665999999999999</v>
      </c>
      <c r="J26" s="56">
        <v>0.1719</v>
      </c>
      <c r="K26" s="56">
        <v>0.31068000000000001</v>
      </c>
      <c r="L26" s="57" t="s">
        <v>160</v>
      </c>
      <c r="M26" s="58" t="s">
        <v>23</v>
      </c>
      <c r="N26" s="59" t="str">
        <f t="shared" si="0"/>
        <v>24/08/2026</v>
      </c>
      <c r="O26">
        <f t="shared" ca="1" si="1"/>
        <v>29</v>
      </c>
    </row>
    <row r="27" spans="2:15">
      <c r="B27" s="40" t="s">
        <v>65</v>
      </c>
      <c r="C27" s="15">
        <v>1.21156</v>
      </c>
      <c r="D27" s="53">
        <v>0.41369</v>
      </c>
      <c r="E27" s="53">
        <v>0.12091</v>
      </c>
      <c r="F27" s="53">
        <v>0.25751000000000002</v>
      </c>
      <c r="G27" s="54" t="s">
        <v>66</v>
      </c>
      <c r="H27" s="55">
        <v>1.46339</v>
      </c>
      <c r="I27" s="56">
        <v>0.47554999999999997</v>
      </c>
      <c r="J27" s="56">
        <v>0.14659</v>
      </c>
      <c r="K27" s="56">
        <v>0.29575000000000001</v>
      </c>
      <c r="L27" s="57" t="s">
        <v>161</v>
      </c>
      <c r="M27" s="58" t="s">
        <v>102</v>
      </c>
      <c r="N27" s="59" t="str">
        <f t="shared" si="0"/>
        <v>23/06/2026</v>
      </c>
      <c r="O27">
        <f t="shared" ca="1" si="1"/>
        <v>91</v>
      </c>
    </row>
    <row r="28" spans="2:15">
      <c r="B28" s="40" t="s">
        <v>67</v>
      </c>
      <c r="C28" s="15">
        <v>1.1629</v>
      </c>
      <c r="D28" s="53">
        <v>0.37247000000000002</v>
      </c>
      <c r="E28" s="53">
        <v>8.8459999999999997E-2</v>
      </c>
      <c r="F28" s="53">
        <v>0.23250000000000001</v>
      </c>
      <c r="G28" s="54" t="s">
        <v>68</v>
      </c>
      <c r="H28" s="55">
        <v>1.1347700000000001</v>
      </c>
      <c r="I28" s="56">
        <v>0.40920000000000001</v>
      </c>
      <c r="J28" s="56">
        <v>0.12386</v>
      </c>
      <c r="K28" s="56">
        <v>0.24531</v>
      </c>
      <c r="L28" s="57" t="s">
        <v>69</v>
      </c>
      <c r="M28" s="58" t="s">
        <v>23</v>
      </c>
      <c r="N28" s="59" t="str">
        <f t="shared" si="0"/>
        <v>22/04/2026</v>
      </c>
      <c r="O28">
        <f t="shared" ca="1" si="1"/>
        <v>153</v>
      </c>
    </row>
    <row r="29" spans="2:15">
      <c r="B29" s="40" t="s">
        <v>70</v>
      </c>
      <c r="C29" s="15">
        <v>1.7029399999999999</v>
      </c>
      <c r="D29" s="53">
        <v>0.42649999999999999</v>
      </c>
      <c r="E29" s="53">
        <v>8.4930000000000005E-2</v>
      </c>
      <c r="F29" s="53">
        <v>0.25764999999999999</v>
      </c>
      <c r="G29" s="54" t="s">
        <v>71</v>
      </c>
      <c r="H29" s="55">
        <v>1.71878</v>
      </c>
      <c r="I29" s="56">
        <v>0.46311000000000002</v>
      </c>
      <c r="J29" s="56">
        <v>0.12232999999999999</v>
      </c>
      <c r="K29" s="56">
        <v>0.26488</v>
      </c>
      <c r="L29" s="57" t="s">
        <v>72</v>
      </c>
      <c r="M29" s="58" t="s">
        <v>23</v>
      </c>
      <c r="N29" s="59" t="str">
        <f t="shared" si="0"/>
        <v>22/04/2026</v>
      </c>
      <c r="O29">
        <f t="shared" ca="1" si="1"/>
        <v>153</v>
      </c>
    </row>
    <row r="30" spans="2:15">
      <c r="B30" s="40" t="s">
        <v>73</v>
      </c>
      <c r="C30" s="15">
        <v>1.66415</v>
      </c>
      <c r="D30" s="53">
        <v>0.50961000000000001</v>
      </c>
      <c r="E30" s="53">
        <v>0.15092</v>
      </c>
      <c r="F30" s="53">
        <v>0.32264999999999999</v>
      </c>
      <c r="G30" s="54" t="s">
        <v>74</v>
      </c>
      <c r="H30" s="55"/>
      <c r="I30" s="56"/>
      <c r="J30" s="56"/>
      <c r="K30" s="56"/>
      <c r="L30" s="57"/>
      <c r="M30" s="58"/>
      <c r="N30" s="59" t="str">
        <f t="shared" si="0"/>
        <v>18/11/2025</v>
      </c>
      <c r="O30">
        <f t="shared" ca="1" si="1"/>
        <v>308</v>
      </c>
    </row>
    <row r="31" spans="2:15">
      <c r="B31" s="40" t="s">
        <v>75</v>
      </c>
      <c r="C31" s="15">
        <v>1.2945899999999999</v>
      </c>
      <c r="D31" s="53">
        <v>0.44453999999999999</v>
      </c>
      <c r="E31" s="53">
        <v>0.11447</v>
      </c>
      <c r="F31" s="53">
        <v>0.27118999999999999</v>
      </c>
      <c r="G31" s="54" t="s">
        <v>76</v>
      </c>
      <c r="H31" s="55">
        <v>1.3515699999999999</v>
      </c>
      <c r="I31" s="56">
        <v>0.43187999999999999</v>
      </c>
      <c r="J31" s="56">
        <v>0.16416</v>
      </c>
      <c r="K31" s="56">
        <v>0.27282000000000001</v>
      </c>
      <c r="L31" s="57" t="s">
        <v>77</v>
      </c>
      <c r="M31" s="58" t="s">
        <v>23</v>
      </c>
      <c r="N31" s="59" t="str">
        <f t="shared" si="0"/>
        <v>22/04/2026</v>
      </c>
      <c r="O31">
        <f t="shared" ca="1" si="1"/>
        <v>153</v>
      </c>
    </row>
    <row r="32" spans="2:15">
      <c r="B32" s="40" t="s">
        <v>78</v>
      </c>
      <c r="C32" s="15">
        <v>0.94389999999999996</v>
      </c>
      <c r="D32" s="53">
        <v>0.51344999999999996</v>
      </c>
      <c r="E32" s="53">
        <v>0.12898999999999999</v>
      </c>
      <c r="F32" s="53">
        <v>0.32277</v>
      </c>
      <c r="G32" s="54" t="s">
        <v>79</v>
      </c>
      <c r="H32" s="55"/>
      <c r="I32" s="56"/>
      <c r="J32" s="56"/>
      <c r="K32" s="56"/>
      <c r="L32" s="57"/>
      <c r="M32" s="58"/>
      <c r="N32" s="59" t="str">
        <f t="shared" si="0"/>
        <v>21/10/2025</v>
      </c>
      <c r="O32">
        <f t="shared" ca="1" si="1"/>
        <v>336</v>
      </c>
    </row>
    <row r="33" spans="2:15">
      <c r="B33" s="40" t="s">
        <v>80</v>
      </c>
      <c r="C33" s="15">
        <v>1.3256300000000001</v>
      </c>
      <c r="D33" s="53">
        <v>0.48903000000000002</v>
      </c>
      <c r="E33" s="53">
        <v>0.14205000000000001</v>
      </c>
      <c r="F33" s="53">
        <v>0.30923</v>
      </c>
      <c r="G33" s="54" t="s">
        <v>81</v>
      </c>
      <c r="H33" s="55"/>
      <c r="I33" s="56"/>
      <c r="J33" s="56"/>
      <c r="K33" s="56"/>
      <c r="L33" s="57"/>
      <c r="M33" s="58"/>
      <c r="N33" s="59" t="str">
        <f t="shared" si="0"/>
        <v>14/10/2025</v>
      </c>
      <c r="O33">
        <f t="shared" ca="1" si="1"/>
        <v>343</v>
      </c>
    </row>
    <row r="34" spans="2:15">
      <c r="B34" s="40" t="s">
        <v>82</v>
      </c>
      <c r="C34" s="15">
        <v>0.92752000000000001</v>
      </c>
      <c r="D34" s="53">
        <v>0.60224999999999995</v>
      </c>
      <c r="E34" s="53">
        <v>0.16742000000000001</v>
      </c>
      <c r="F34" s="53">
        <v>0.37795000000000001</v>
      </c>
      <c r="G34" s="54" t="s">
        <v>83</v>
      </c>
      <c r="H34" s="55"/>
      <c r="I34" s="56"/>
      <c r="J34" s="56"/>
      <c r="K34" s="56"/>
      <c r="L34" s="57"/>
      <c r="M34" s="58"/>
      <c r="N34" s="59" t="str">
        <f t="shared" si="0"/>
        <v>22/10/2025</v>
      </c>
      <c r="O34">
        <f t="shared" ca="1" si="1"/>
        <v>335</v>
      </c>
    </row>
    <row r="35" spans="2:15">
      <c r="B35" s="40" t="s">
        <v>84</v>
      </c>
      <c r="C35" s="15">
        <v>1.9340599999999999</v>
      </c>
      <c r="D35" s="53">
        <v>0.44590999999999997</v>
      </c>
      <c r="E35" s="53">
        <v>0.15</v>
      </c>
      <c r="F35" s="53">
        <v>0.27728000000000003</v>
      </c>
      <c r="G35" s="54" t="s">
        <v>85</v>
      </c>
      <c r="H35" s="55">
        <v>2.0572900000000001</v>
      </c>
      <c r="I35" s="56">
        <v>0.48969000000000001</v>
      </c>
      <c r="J35" s="56">
        <v>0.22356000000000001</v>
      </c>
      <c r="K35" s="56">
        <v>0.31086000000000003</v>
      </c>
      <c r="L35" s="57" t="s">
        <v>86</v>
      </c>
      <c r="M35" s="58" t="s">
        <v>23</v>
      </c>
      <c r="N35" s="59" t="str">
        <f t="shared" si="0"/>
        <v>10/03/2026</v>
      </c>
      <c r="O35">
        <f t="shared" ca="1" si="1"/>
        <v>196</v>
      </c>
    </row>
    <row r="36" spans="2:15">
      <c r="B36" s="40" t="s">
        <v>87</v>
      </c>
      <c r="C36" s="15">
        <v>0.83706999999999998</v>
      </c>
      <c r="D36" s="53">
        <v>0.43913000000000002</v>
      </c>
      <c r="E36" s="53">
        <v>0.12504999999999999</v>
      </c>
      <c r="F36" s="53">
        <v>0.27354000000000001</v>
      </c>
      <c r="G36" s="54" t="s">
        <v>88</v>
      </c>
      <c r="H36" s="55">
        <v>0.92240999999999995</v>
      </c>
      <c r="I36" s="56">
        <v>0.48242000000000002</v>
      </c>
      <c r="J36" s="56">
        <v>0.15062</v>
      </c>
      <c r="K36" s="56">
        <v>0.30187999999999998</v>
      </c>
      <c r="L36" s="57" t="s">
        <v>162</v>
      </c>
      <c r="M36" s="58" t="s">
        <v>23</v>
      </c>
      <c r="N36" s="59" t="str">
        <f t="shared" si="0"/>
        <v>30/06/2026</v>
      </c>
      <c r="O36">
        <f t="shared" ca="1" si="1"/>
        <v>84</v>
      </c>
    </row>
    <row r="37" spans="2:15">
      <c r="B37" s="40" t="s">
        <v>89</v>
      </c>
      <c r="C37" s="15">
        <v>1.1997100000000001</v>
      </c>
      <c r="D37" s="53">
        <v>0.53037999999999996</v>
      </c>
      <c r="E37" s="53">
        <v>0.16666</v>
      </c>
      <c r="F37" s="53">
        <v>0.32926</v>
      </c>
      <c r="G37" s="54" t="s">
        <v>90</v>
      </c>
      <c r="H37" s="55">
        <v>1.2503200000000001</v>
      </c>
      <c r="I37" s="56">
        <v>0.55479000000000001</v>
      </c>
      <c r="J37" s="56">
        <v>0.22947999999999999</v>
      </c>
      <c r="K37" s="56">
        <v>0.29065999999999997</v>
      </c>
      <c r="L37" s="57" t="s">
        <v>91</v>
      </c>
      <c r="M37" s="58" t="s">
        <v>23</v>
      </c>
      <c r="N37" s="59" t="str">
        <f t="shared" si="0"/>
        <v>19/05/2026</v>
      </c>
      <c r="O37">
        <f t="shared" ca="1" si="1"/>
        <v>126</v>
      </c>
    </row>
    <row r="38" spans="2:15">
      <c r="B38" s="40" t="s">
        <v>92</v>
      </c>
      <c r="C38" s="15">
        <v>1.2433000000000001</v>
      </c>
      <c r="D38" s="53">
        <v>0.48664000000000002</v>
      </c>
      <c r="E38" s="53">
        <v>0.13277</v>
      </c>
      <c r="F38" s="53">
        <v>0.30118</v>
      </c>
      <c r="G38" s="54" t="s">
        <v>93</v>
      </c>
      <c r="H38" s="55">
        <v>1.3814299999999999</v>
      </c>
      <c r="I38" s="56">
        <v>0.49245</v>
      </c>
      <c r="J38" s="56">
        <v>0.14535000000000001</v>
      </c>
      <c r="K38" s="56">
        <v>0.30580000000000002</v>
      </c>
      <c r="L38" s="57" t="s">
        <v>163</v>
      </c>
      <c r="M38" s="58" t="s">
        <v>102</v>
      </c>
      <c r="N38" s="59" t="str">
        <f t="shared" si="0"/>
        <v>14/07/2026</v>
      </c>
      <c r="O38">
        <f t="shared" ca="1" si="1"/>
        <v>70</v>
      </c>
    </row>
    <row r="39" spans="2:15">
      <c r="B39" s="40" t="s">
        <v>94</v>
      </c>
      <c r="C39" s="15">
        <v>2.2833000000000001</v>
      </c>
      <c r="D39" s="53">
        <v>0.35981000000000002</v>
      </c>
      <c r="E39" s="53">
        <v>0.19363</v>
      </c>
      <c r="F39" s="53">
        <v>0.19381000000000001</v>
      </c>
      <c r="G39" s="54" t="s">
        <v>95</v>
      </c>
      <c r="H39" s="55">
        <v>2.9971999999999999</v>
      </c>
      <c r="I39" s="56">
        <v>0.26573000000000002</v>
      </c>
      <c r="J39" s="56">
        <v>0.26738000000000001</v>
      </c>
      <c r="K39" s="56">
        <v>7.571E-2</v>
      </c>
      <c r="L39" s="57" t="s">
        <v>96</v>
      </c>
      <c r="M39" s="58" t="s">
        <v>23</v>
      </c>
      <c r="N39" s="59" t="str">
        <f t="shared" si="0"/>
        <v>07/04/2026</v>
      </c>
      <c r="O39">
        <f t="shared" ca="1" si="1"/>
        <v>168</v>
      </c>
    </row>
    <row r="40" spans="2:15">
      <c r="B40" s="40" t="s">
        <v>97</v>
      </c>
      <c r="C40" s="15">
        <v>1.6561600000000001</v>
      </c>
      <c r="D40" s="53">
        <v>0.43109999999999998</v>
      </c>
      <c r="E40" s="53">
        <v>0.14960999999999999</v>
      </c>
      <c r="F40" s="53">
        <v>0.27250999999999997</v>
      </c>
      <c r="G40" s="54" t="s">
        <v>98</v>
      </c>
      <c r="H40" s="55"/>
      <c r="I40" s="56"/>
      <c r="J40" s="56"/>
      <c r="K40" s="56"/>
      <c r="L40" s="57"/>
      <c r="M40" s="58"/>
      <c r="N40" s="59" t="str">
        <f t="shared" si="0"/>
        <v>11/11/2025</v>
      </c>
      <c r="O40">
        <f t="shared" ca="1" si="1"/>
        <v>315</v>
      </c>
    </row>
    <row r="41" spans="2:15">
      <c r="B41" s="40" t="s">
        <v>99</v>
      </c>
      <c r="C41" s="15">
        <v>1.50234</v>
      </c>
      <c r="D41" s="53">
        <v>0.38313000000000003</v>
      </c>
      <c r="E41" s="53">
        <v>0.12573999999999999</v>
      </c>
      <c r="F41" s="53">
        <v>0.23230999999999999</v>
      </c>
      <c r="G41" s="54" t="s">
        <v>100</v>
      </c>
      <c r="H41" s="55">
        <v>1.82219</v>
      </c>
      <c r="I41" s="56">
        <v>0.37615999999999999</v>
      </c>
      <c r="J41" s="56">
        <v>0.15851999999999999</v>
      </c>
      <c r="K41" s="56">
        <v>0.23682</v>
      </c>
      <c r="L41" s="57" t="s">
        <v>101</v>
      </c>
      <c r="M41" s="58" t="s">
        <v>102</v>
      </c>
      <c r="N41" s="59" t="str">
        <f t="shared" si="0"/>
        <v>22/04/2026</v>
      </c>
      <c r="O41">
        <f t="shared" ca="1" si="1"/>
        <v>153</v>
      </c>
    </row>
    <row r="42" spans="2:15">
      <c r="B42" s="40" t="s">
        <v>103</v>
      </c>
      <c r="C42" s="15">
        <v>2.05661</v>
      </c>
      <c r="D42" s="53">
        <v>0.53732999999999997</v>
      </c>
      <c r="E42" s="53">
        <v>0.13649</v>
      </c>
      <c r="F42" s="53">
        <v>0.33241999999999999</v>
      </c>
      <c r="G42" s="54" t="s">
        <v>104</v>
      </c>
      <c r="H42" s="55">
        <v>1.9413400000000001</v>
      </c>
      <c r="I42" s="56">
        <v>0.55717000000000005</v>
      </c>
      <c r="J42" s="56">
        <v>0.15695000000000001</v>
      </c>
      <c r="K42" s="56">
        <v>0.34290999999999999</v>
      </c>
      <c r="L42" s="57" t="s">
        <v>105</v>
      </c>
      <c r="M42" s="58" t="s">
        <v>102</v>
      </c>
      <c r="N42" s="59" t="str">
        <f t="shared" si="0"/>
        <v>16/06/2026</v>
      </c>
      <c r="O42">
        <f t="shared" ca="1" si="1"/>
        <v>98</v>
      </c>
    </row>
    <row r="43" spans="2:15">
      <c r="B43" s="40" t="s">
        <v>106</v>
      </c>
      <c r="C43" s="15">
        <v>1.32193</v>
      </c>
      <c r="D43" s="53">
        <v>0.47894999999999999</v>
      </c>
      <c r="E43" s="53">
        <v>0.16170999999999999</v>
      </c>
      <c r="F43" s="53">
        <v>0.30025000000000002</v>
      </c>
      <c r="G43" s="54" t="s">
        <v>107</v>
      </c>
      <c r="H43" s="55">
        <v>1.40747</v>
      </c>
      <c r="I43" s="56">
        <v>0.51695000000000002</v>
      </c>
      <c r="J43" s="56">
        <v>0.18212999999999999</v>
      </c>
      <c r="K43" s="56">
        <v>0.32111000000000001</v>
      </c>
      <c r="L43" s="57" t="s">
        <v>164</v>
      </c>
      <c r="M43" s="58" t="s">
        <v>23</v>
      </c>
      <c r="N43" s="59" t="str">
        <f t="shared" si="0"/>
        <v>28/07/2026</v>
      </c>
      <c r="O43">
        <f t="shared" ca="1" si="1"/>
        <v>56</v>
      </c>
    </row>
    <row r="44" spans="2:15">
      <c r="B44" s="43" t="s">
        <v>108</v>
      </c>
      <c r="C44" s="28">
        <v>1.3022100000000001</v>
      </c>
      <c r="D44" s="68">
        <v>0.40038000000000001</v>
      </c>
      <c r="E44" s="68">
        <v>0.10872</v>
      </c>
      <c r="F44" s="68">
        <v>0.25286999999999998</v>
      </c>
      <c r="G44" s="69" t="s">
        <v>109</v>
      </c>
      <c r="H44" s="70"/>
      <c r="I44" s="71"/>
      <c r="J44" s="71"/>
      <c r="K44" s="71"/>
      <c r="L44" s="72"/>
      <c r="M44" s="73"/>
      <c r="N44" s="59" t="str">
        <f t="shared" si="0"/>
        <v>19/08/2025</v>
      </c>
      <c r="O44">
        <f t="shared" ca="1" si="1"/>
        <v>399</v>
      </c>
    </row>
    <row r="47" spans="2:15">
      <c r="C47" s="36"/>
      <c r="D47" s="36"/>
      <c r="E47" s="36"/>
      <c r="F47" s="36"/>
    </row>
    <row r="48" spans="2:15">
      <c r="C48" s="36"/>
      <c r="D48" s="36"/>
      <c r="E48" s="36"/>
      <c r="F48" s="36"/>
    </row>
    <row r="51" spans="3:6">
      <c r="C51" s="36"/>
      <c r="D51" s="36"/>
      <c r="E51" s="36"/>
      <c r="F51" s="36"/>
    </row>
    <row r="56" spans="3:6">
      <c r="C56" s="36"/>
      <c r="D56" s="36"/>
      <c r="E56" s="36"/>
      <c r="F56" s="36"/>
    </row>
  </sheetData>
  <mergeCells count="8">
    <mergeCell ref="B2:B4"/>
    <mergeCell ref="O2:O4"/>
    <mergeCell ref="C2:G2"/>
    <mergeCell ref="H2:M2"/>
    <mergeCell ref="C3:D3"/>
    <mergeCell ref="E3:F3"/>
    <mergeCell ref="H3:I3"/>
    <mergeCell ref="J3:K3"/>
  </mergeCells>
  <conditionalFormatting sqref="O5:O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55"/>
  <sheetViews>
    <sheetView showGridLines="0" workbookViewId="0">
      <selection activeCell="E17" sqref="E17"/>
    </sheetView>
  </sheetViews>
  <sheetFormatPr defaultColWidth="9.140625" defaultRowHeight="12.75"/>
  <cols>
    <col min="1" max="1" width="2.5703125" customWidth="1"/>
    <col min="2" max="2" width="36.85546875" customWidth="1"/>
    <col min="3" max="4" width="11" customWidth="1"/>
  </cols>
  <sheetData>
    <row r="2" spans="2:6" ht="15">
      <c r="B2" s="113" t="s">
        <v>0</v>
      </c>
      <c r="C2" s="111" t="s">
        <v>4</v>
      </c>
      <c r="D2" s="112"/>
      <c r="E2" s="111" t="s">
        <v>5</v>
      </c>
      <c r="F2" s="112"/>
    </row>
    <row r="3" spans="2:6" ht="15">
      <c r="B3" s="114"/>
      <c r="C3" s="38" t="s">
        <v>6</v>
      </c>
      <c r="D3" s="39" t="s">
        <v>7</v>
      </c>
      <c r="E3" s="38" t="s">
        <v>6</v>
      </c>
      <c r="F3" s="39" t="s">
        <v>7</v>
      </c>
    </row>
    <row r="4" spans="2:6">
      <c r="B4" s="40" t="s">
        <v>10</v>
      </c>
      <c r="C4" s="41">
        <f>IF(VLOOKUP($B4,'Tarifas e Resoluções'!$B$5:$M$44,7,FALSE)="","",(VLOOKUP($B4,'Tarifas e Resoluções'!$B$5:$M$44,7,FALSE)/VLOOKUP($B4,'Tarifas e Resoluções'!$B$5:$M$44,2,FALSE))-1)</f>
        <v>-2.4049593817035753E-2</v>
      </c>
      <c r="D4" s="42">
        <f>IF(VLOOKUP($B4,'Tarifas e Resoluções'!$B$5:$M$44,8,FALSE)="","",(VLOOKUP($B4,'Tarifas e Resoluções'!$B$5:$M$44,8,FALSE)/VLOOKUP($B4,'Tarifas e Resoluções'!$B$5:$M$44,3,FALSE))-1)</f>
        <v>0.12023166199238444</v>
      </c>
      <c r="E4" s="41">
        <f>IF(VLOOKUP($B4,'Tarifas e Resoluções'!$B$5:$M$44,9,FALSE)="","",(VLOOKUP($B4,'Tarifas e Resoluções'!$B$5:$M$44,9,FALSE)/VLOOKUP($B4,'Tarifas e Resoluções'!$B$5:$M$44,4,FALSE))-1)</f>
        <v>0.26412485183721857</v>
      </c>
      <c r="F4" s="42">
        <f>IF(VLOOKUP($B4,'Tarifas e Resoluções'!$B$5:$M$44,10,FALSE)="","",(VLOOKUP($B4,'Tarifas e Resoluções'!$B$5:$M$44,10,FALSE)/VLOOKUP($B4,'Tarifas e Resoluções'!$B$5:$M$44,5,FALSE))-1)</f>
        <v>6.0796489792882769E-2</v>
      </c>
    </row>
    <row r="5" spans="2:6">
      <c r="B5" s="40" t="s">
        <v>12</v>
      </c>
      <c r="C5" s="41">
        <f>IF(VLOOKUP($B5,'Tarifas e Resoluções'!$B$5:$M$44,7,FALSE)="","",(VLOOKUP($B5,'Tarifas e Resoluções'!$B$5:$M$44,7,FALSE)/VLOOKUP($B5,'Tarifas e Resoluções'!$B$5:$M$44,2,FALSE))-1)</f>
        <v>2.4514109351769564E-2</v>
      </c>
      <c r="D5" s="42">
        <f>IF(VLOOKUP($B5,'Tarifas e Resoluções'!$B$5:$M$44,8,FALSE)="","",(VLOOKUP($B5,'Tarifas e Resoluções'!$B$5:$M$44,8,FALSE)/VLOOKUP($B5,'Tarifas e Resoluções'!$B$5:$M$44,3,FALSE))-1)</f>
        <v>0.10328331264808766</v>
      </c>
      <c r="E5" s="41">
        <f>IF(VLOOKUP($B5,'Tarifas e Resoluções'!$B$5:$M$44,9,FALSE)="","",(VLOOKUP($B5,'Tarifas e Resoluções'!$B$5:$M$44,9,FALSE)/VLOOKUP($B5,'Tarifas e Resoluções'!$B$5:$M$44,4,FALSE))-1)</f>
        <v>0.23912840175815964</v>
      </c>
      <c r="F5" s="42">
        <f>IF(VLOOKUP($B5,'Tarifas e Resoluções'!$B$5:$M$44,10,FALSE)="","",(VLOOKUP($B5,'Tarifas e Resoluções'!$B$5:$M$44,10,FALSE)/VLOOKUP($B5,'Tarifas e Resoluções'!$B$5:$M$44,5,FALSE))-1)</f>
        <v>8.6332782975600875E-2</v>
      </c>
    </row>
    <row r="6" spans="2:6">
      <c r="B6" s="40" t="s">
        <v>14</v>
      </c>
      <c r="C6" s="41">
        <f>IF(VLOOKUP($B6,'Tarifas e Resoluções'!$B$5:$M$44,7,FALSE)="","",(VLOOKUP($B6,'Tarifas e Resoluções'!$B$5:$M$44,7,FALSE)/VLOOKUP($B6,'Tarifas e Resoluções'!$B$5:$M$44,2,FALSE))-1)</f>
        <v>6.6331015743625876E-3</v>
      </c>
      <c r="D6" s="42">
        <f>IF(VLOOKUP($B6,'Tarifas e Resoluções'!$B$5:$M$44,8,FALSE)="","",(VLOOKUP($B6,'Tarifas e Resoluções'!$B$5:$M$44,8,FALSE)/VLOOKUP($B6,'Tarifas e Resoluções'!$B$5:$M$44,3,FALSE))-1)</f>
        <v>9.6055167289697874E-2</v>
      </c>
      <c r="E6" s="41">
        <f>IF(VLOOKUP($B6,'Tarifas e Resoluções'!$B$5:$M$44,9,FALSE)="","",(VLOOKUP($B6,'Tarifas e Resoluções'!$B$5:$M$44,9,FALSE)/VLOOKUP($B6,'Tarifas e Resoluções'!$B$5:$M$44,4,FALSE))-1)</f>
        <v>0.3356005165733964</v>
      </c>
      <c r="F6" s="42">
        <f>IF(VLOOKUP($B6,'Tarifas e Resoluções'!$B$5:$M$44,10,FALSE)="","",(VLOOKUP($B6,'Tarifas e Resoluções'!$B$5:$M$44,10,FALSE)/VLOOKUP($B6,'Tarifas e Resoluções'!$B$5:$M$44,5,FALSE))-1)</f>
        <v>3.5639255702280881E-2</v>
      </c>
    </row>
    <row r="7" spans="2:6">
      <c r="B7" s="40" t="s">
        <v>16</v>
      </c>
      <c r="C7" s="41" t="str">
        <f>IF(VLOOKUP($B7,'Tarifas e Resoluções'!$B$5:$M$44,7,FALSE)="","",(VLOOKUP($B7,'Tarifas e Resoluções'!$B$5:$M$44,7,FALSE)/VLOOKUP($B7,'Tarifas e Resoluções'!$B$5:$M$44,2,FALSE))-1)</f>
        <v/>
      </c>
      <c r="D7" s="42" t="str">
        <f>IF(VLOOKUP($B7,'Tarifas e Resoluções'!$B$5:$M$44,8,FALSE)="","",(VLOOKUP($B7,'Tarifas e Resoluções'!$B$5:$M$44,8,FALSE)/VLOOKUP($B7,'Tarifas e Resoluções'!$B$5:$M$44,3,FALSE))-1)</f>
        <v/>
      </c>
      <c r="E7" s="41" t="str">
        <f>IF(VLOOKUP($B7,'Tarifas e Resoluções'!$B$5:$M$44,9,FALSE)="","",(VLOOKUP($B7,'Tarifas e Resoluções'!$B$5:$M$44,9,FALSE)/VLOOKUP($B7,'Tarifas e Resoluções'!$B$5:$M$44,4,FALSE))-1)</f>
        <v/>
      </c>
      <c r="F7" s="42" t="str">
        <f>IF(VLOOKUP($B7,'Tarifas e Resoluções'!$B$5:$M$44,10,FALSE)="","",(VLOOKUP($B7,'Tarifas e Resoluções'!$B$5:$M$44,10,FALSE)/VLOOKUP($B7,'Tarifas e Resoluções'!$B$5:$M$44,5,FALSE))-1)</f>
        <v/>
      </c>
    </row>
    <row r="8" spans="2:6">
      <c r="B8" s="40" t="s">
        <v>18</v>
      </c>
      <c r="C8" s="41" t="str">
        <f>IF(VLOOKUP($B8,'Tarifas e Resoluções'!$B$5:$M$44,7,FALSE)="","",(VLOOKUP($B8,'Tarifas e Resoluções'!$B$5:$M$44,7,FALSE)/VLOOKUP($B8,'Tarifas e Resoluções'!$B$5:$M$44,2,FALSE))-1)</f>
        <v/>
      </c>
      <c r="D8" s="42" t="str">
        <f>IF(VLOOKUP($B8,'Tarifas e Resoluções'!$B$5:$M$44,8,FALSE)="","",(VLOOKUP($B8,'Tarifas e Resoluções'!$B$5:$M$44,8,FALSE)/VLOOKUP($B8,'Tarifas e Resoluções'!$B$5:$M$44,3,FALSE))-1)</f>
        <v/>
      </c>
      <c r="E8" s="41" t="str">
        <f>IF(VLOOKUP($B8,'Tarifas e Resoluções'!$B$5:$M$44,9,FALSE)="","",(VLOOKUP($B8,'Tarifas e Resoluções'!$B$5:$M$44,9,FALSE)/VLOOKUP($B8,'Tarifas e Resoluções'!$B$5:$M$44,4,FALSE))-1)</f>
        <v/>
      </c>
      <c r="F8" s="42" t="str">
        <f>IF(VLOOKUP($B8,'Tarifas e Resoluções'!$B$5:$M$44,10,FALSE)="","",(VLOOKUP($B8,'Tarifas e Resoluções'!$B$5:$M$44,10,FALSE)/VLOOKUP($B8,'Tarifas e Resoluções'!$B$5:$M$44,5,FALSE))-1)</f>
        <v/>
      </c>
    </row>
    <row r="9" spans="2:6">
      <c r="B9" s="40" t="s">
        <v>20</v>
      </c>
      <c r="C9" s="41">
        <f>IF(VLOOKUP($B9,'Tarifas e Resoluções'!$B$5:$M$44,7,FALSE)="","",(VLOOKUP($B9,'Tarifas e Resoluções'!$B$5:$M$44,7,FALSE)/VLOOKUP($B9,'Tarifas e Resoluções'!$B$5:$M$44,2,FALSE))-1)</f>
        <v>4.7657217160516963E-2</v>
      </c>
      <c r="D9" s="42">
        <f>IF(VLOOKUP($B9,'Tarifas e Resoluções'!$B$5:$M$44,8,FALSE)="","",(VLOOKUP($B9,'Tarifas e Resoluções'!$B$5:$M$44,8,FALSE)/VLOOKUP($B9,'Tarifas e Resoluções'!$B$5:$M$44,3,FALSE))-1)</f>
        <v>-5.112909173734792E-2</v>
      </c>
      <c r="E9" s="41">
        <f>IF(VLOOKUP($B9,'Tarifas e Resoluções'!$B$5:$M$44,9,FALSE)="","",(VLOOKUP($B9,'Tarifas e Resoluções'!$B$5:$M$44,9,FALSE)/VLOOKUP($B9,'Tarifas e Resoluções'!$B$5:$M$44,4,FALSE))-1)</f>
        <v>0.33133126934984514</v>
      </c>
      <c r="F9" s="42">
        <f>IF(VLOOKUP($B9,'Tarifas e Resoluções'!$B$5:$M$44,10,FALSE)="","",(VLOOKUP($B9,'Tarifas e Resoluções'!$B$5:$M$44,10,FALSE)/VLOOKUP($B9,'Tarifas e Resoluções'!$B$5:$M$44,5,FALSE))-1)</f>
        <v>-3.0540834352493551E-2</v>
      </c>
    </row>
    <row r="10" spans="2:6">
      <c r="B10" s="40" t="s">
        <v>24</v>
      </c>
      <c r="C10" s="41">
        <f>IF(VLOOKUP($B10,'Tarifas e Resoluções'!$B$5:$M$44,7,FALSE)="","",(VLOOKUP($B10,'Tarifas e Resoluções'!$B$5:$M$44,7,FALSE)/VLOOKUP($B10,'Tarifas e Resoluções'!$B$5:$M$44,2,FALSE))-1)</f>
        <v>5.5267934792124995E-2</v>
      </c>
      <c r="D10" s="42">
        <f>IF(VLOOKUP($B10,'Tarifas e Resoluções'!$B$5:$M$44,8,FALSE)="","",(VLOOKUP($B10,'Tarifas e Resoluções'!$B$5:$M$44,8,FALSE)/VLOOKUP($B10,'Tarifas e Resoluções'!$B$5:$M$44,3,FALSE))-1)</f>
        <v>1.988908810407386E-2</v>
      </c>
      <c r="E10" s="41">
        <f>IF(VLOOKUP($B10,'Tarifas e Resoluções'!$B$5:$M$44,9,FALSE)="","",(VLOOKUP($B10,'Tarifas e Resoluções'!$B$5:$M$44,9,FALSE)/VLOOKUP($B10,'Tarifas e Resoluções'!$B$5:$M$44,4,FALSE))-1)</f>
        <v>0.26623426173216336</v>
      </c>
      <c r="F10" s="42">
        <f>IF(VLOOKUP($B10,'Tarifas e Resoluções'!$B$5:$M$44,10,FALSE)="","",(VLOOKUP($B10,'Tarifas e Resoluções'!$B$5:$M$44,10,FALSE)/VLOOKUP($B10,'Tarifas e Resoluções'!$B$5:$M$44,5,FALSE))-1)</f>
        <v>-5.6215304616680228E-4</v>
      </c>
    </row>
    <row r="11" spans="2:6">
      <c r="B11" s="40" t="s">
        <v>27</v>
      </c>
      <c r="C11" s="41">
        <f>IF(VLOOKUP($B11,'Tarifas e Resoluções'!$B$5:$M$44,7,FALSE)="","",(VLOOKUP($B11,'Tarifas e Resoluções'!$B$5:$M$44,7,FALSE)/VLOOKUP($B11,'Tarifas e Resoluções'!$B$5:$M$44,2,FALSE))-1)</f>
        <v>6.5234015325312811E-3</v>
      </c>
      <c r="D11" s="42">
        <f>IF(VLOOKUP($B11,'Tarifas e Resoluções'!$B$5:$M$44,8,FALSE)="","",(VLOOKUP($B11,'Tarifas e Resoluções'!$B$5:$M$44,8,FALSE)/VLOOKUP($B11,'Tarifas e Resoluções'!$B$5:$M$44,3,FALSE))-1)</f>
        <v>5.7598735396547029E-2</v>
      </c>
      <c r="E11" s="41">
        <f>IF(VLOOKUP($B11,'Tarifas e Resoluções'!$B$5:$M$44,9,FALSE)="","",(VLOOKUP($B11,'Tarifas e Resoluções'!$B$5:$M$44,9,FALSE)/VLOOKUP($B11,'Tarifas e Resoluções'!$B$5:$M$44,4,FALSE))-1)</f>
        <v>0.28433661557202305</v>
      </c>
      <c r="F11" s="42">
        <f>IF(VLOOKUP($B11,'Tarifas e Resoluções'!$B$5:$M$44,10,FALSE)="","",(VLOOKUP($B11,'Tarifas e Resoluções'!$B$5:$M$44,10,FALSE)/VLOOKUP($B11,'Tarifas e Resoluções'!$B$5:$M$44,5,FALSE))-1)</f>
        <v>1.9401744910677143E-2</v>
      </c>
    </row>
    <row r="12" spans="2:6">
      <c r="B12" s="40" t="s">
        <v>29</v>
      </c>
      <c r="C12" s="41">
        <f>IF(VLOOKUP($B12,'Tarifas e Resoluções'!$B$5:$M$44,7,FALSE)="","",(VLOOKUP($B12,'Tarifas e Resoluções'!$B$5:$M$44,7,FALSE)/VLOOKUP($B12,'Tarifas e Resoluções'!$B$5:$M$44,2,FALSE))-1)</f>
        <v>9.3015608300939245E-3</v>
      </c>
      <c r="D12" s="42">
        <f>IF(VLOOKUP($B12,'Tarifas e Resoluções'!$B$5:$M$44,8,FALSE)="","",(VLOOKUP($B12,'Tarifas e Resoluções'!$B$5:$M$44,8,FALSE)/VLOOKUP($B12,'Tarifas e Resoluções'!$B$5:$M$44,3,FALSE))-1)</f>
        <v>3.9108840641407738E-2</v>
      </c>
      <c r="E12" s="41">
        <f>IF(VLOOKUP($B12,'Tarifas e Resoluções'!$B$5:$M$44,9,FALSE)="","",(VLOOKUP($B12,'Tarifas e Resoluções'!$B$5:$M$44,9,FALSE)/VLOOKUP($B12,'Tarifas e Resoluções'!$B$5:$M$44,4,FALSE))-1)</f>
        <v>0.44036265159543131</v>
      </c>
      <c r="F12" s="42">
        <f>IF(VLOOKUP($B12,'Tarifas e Resoluções'!$B$5:$M$44,10,FALSE)="","",(VLOOKUP($B12,'Tarifas e Resoluções'!$B$5:$M$44,10,FALSE)/VLOOKUP($B12,'Tarifas e Resoluções'!$B$5:$M$44,5,FALSE))-1)</f>
        <v>2.2803549262102818E-2</v>
      </c>
    </row>
    <row r="13" spans="2:6">
      <c r="B13" s="40" t="s">
        <v>32</v>
      </c>
      <c r="C13" s="41">
        <f>IF(VLOOKUP($B13,'Tarifas e Resoluções'!$B$5:$M$44,7,FALSE)="","",(VLOOKUP($B13,'Tarifas e Resoluções'!$B$5:$M$44,7,FALSE)/VLOOKUP($B13,'Tarifas e Resoluções'!$B$5:$M$44,2,FALSE))-1)</f>
        <v>-9.3498123608778405E-2</v>
      </c>
      <c r="D13" s="42">
        <f>IF(VLOOKUP($B13,'Tarifas e Resoluções'!$B$5:$M$44,8,FALSE)="","",(VLOOKUP($B13,'Tarifas e Resoluções'!$B$5:$M$44,8,FALSE)/VLOOKUP($B13,'Tarifas e Resoluções'!$B$5:$M$44,3,FALSE))-1)</f>
        <v>2.2669506079548984E-3</v>
      </c>
      <c r="E13" s="41">
        <f>IF(VLOOKUP($B13,'Tarifas e Resoluções'!$B$5:$M$44,9,FALSE)="","",(VLOOKUP($B13,'Tarifas e Resoluções'!$B$5:$M$44,9,FALSE)/VLOOKUP($B13,'Tarifas e Resoluções'!$B$5:$M$44,4,FALSE))-1)</f>
        <v>0.30534431770173209</v>
      </c>
      <c r="F13" s="42">
        <f>IF(VLOOKUP($B13,'Tarifas e Resoluções'!$B$5:$M$44,10,FALSE)="","",(VLOOKUP($B13,'Tarifas e Resoluções'!$B$5:$M$44,10,FALSE)/VLOOKUP($B13,'Tarifas e Resoluções'!$B$5:$M$44,5,FALSE))-1)</f>
        <v>-4.0698985343855743E-2</v>
      </c>
    </row>
    <row r="14" spans="2:6">
      <c r="B14" s="40" t="s">
        <v>35</v>
      </c>
      <c r="C14" s="41">
        <f>IF(VLOOKUP($B14,'Tarifas e Resoluções'!$B$5:$M$44,7,FALSE)="","",(VLOOKUP($B14,'Tarifas e Resoluções'!$B$5:$M$44,7,FALSE)/VLOOKUP($B14,'Tarifas e Resoluções'!$B$5:$M$44,2,FALSE))-1)</f>
        <v>3.0548870719421251E-2</v>
      </c>
      <c r="D14" s="42">
        <f>IF(VLOOKUP($B14,'Tarifas e Resoluções'!$B$5:$M$44,8,FALSE)="","",(VLOOKUP($B14,'Tarifas e Resoluções'!$B$5:$M$44,8,FALSE)/VLOOKUP($B14,'Tarifas e Resoluções'!$B$5:$M$44,3,FALSE))-1)</f>
        <v>3.198054984103238E-2</v>
      </c>
      <c r="E14" s="41">
        <f>IF(VLOOKUP($B14,'Tarifas e Resoluções'!$B$5:$M$44,9,FALSE)="","",(VLOOKUP($B14,'Tarifas e Resoluções'!$B$5:$M$44,9,FALSE)/VLOOKUP($B14,'Tarifas e Resoluções'!$B$5:$M$44,4,FALSE))-1)</f>
        <v>0.37152435417077512</v>
      </c>
      <c r="F14" s="42">
        <f>IF(VLOOKUP($B14,'Tarifas e Resoluções'!$B$5:$M$44,10,FALSE)="","",(VLOOKUP($B14,'Tarifas e Resoluções'!$B$5:$M$44,10,FALSE)/VLOOKUP($B14,'Tarifas e Resoluções'!$B$5:$M$44,5,FALSE))-1)</f>
        <v>-3.9012496190185764E-2</v>
      </c>
    </row>
    <row r="15" spans="2:6">
      <c r="B15" s="40" t="s">
        <v>38</v>
      </c>
      <c r="C15" s="41" t="str">
        <f>IF(VLOOKUP($B15,'Tarifas e Resoluções'!$B$5:$M$44,7,FALSE)="","",(VLOOKUP($B15,'Tarifas e Resoluções'!$B$5:$M$44,7,FALSE)/VLOOKUP($B15,'Tarifas e Resoluções'!$B$5:$M$44,2,FALSE))-1)</f>
        <v/>
      </c>
      <c r="D15" s="42" t="str">
        <f>IF(VLOOKUP($B15,'Tarifas e Resoluções'!$B$5:$M$44,8,FALSE)="","",(VLOOKUP($B15,'Tarifas e Resoluções'!$B$5:$M$44,8,FALSE)/VLOOKUP($B15,'Tarifas e Resoluções'!$B$5:$M$44,3,FALSE))-1)</f>
        <v/>
      </c>
      <c r="E15" s="41" t="str">
        <f>IF(VLOOKUP($B15,'Tarifas e Resoluções'!$B$5:$M$44,9,FALSE)="","",(VLOOKUP($B15,'Tarifas e Resoluções'!$B$5:$M$44,9,FALSE)/VLOOKUP($B15,'Tarifas e Resoluções'!$B$5:$M$44,4,FALSE))-1)</f>
        <v/>
      </c>
      <c r="F15" s="42" t="str">
        <f>IF(VLOOKUP($B15,'Tarifas e Resoluções'!$B$5:$M$44,10,FALSE)="","",(VLOOKUP($B15,'Tarifas e Resoluções'!$B$5:$M$44,10,FALSE)/VLOOKUP($B15,'Tarifas e Resoluções'!$B$5:$M$44,5,FALSE))-1)</f>
        <v/>
      </c>
    </row>
    <row r="16" spans="2:6">
      <c r="B16" s="40" t="s">
        <v>40</v>
      </c>
      <c r="C16" s="41">
        <f>IF(VLOOKUP($B16,'Tarifas e Resoluções'!$B$5:$M$44,7,FALSE)="","",(VLOOKUP($B16,'Tarifas e Resoluções'!$B$5:$M$44,7,FALSE)/VLOOKUP($B16,'Tarifas e Resoluções'!$B$5:$M$44,2,FALSE))-1)</f>
        <v>4.5360870309901546E-2</v>
      </c>
      <c r="D16" s="42">
        <f>IF(VLOOKUP($B16,'Tarifas e Resoluções'!$B$5:$M$44,8,FALSE)="","",(VLOOKUP($B16,'Tarifas e Resoluções'!$B$5:$M$44,8,FALSE)/VLOOKUP($B16,'Tarifas e Resoluções'!$B$5:$M$44,3,FALSE))-1)</f>
        <v>9.6972277627126235E-2</v>
      </c>
      <c r="E16" s="41">
        <f>IF(VLOOKUP($B16,'Tarifas e Resoluções'!$B$5:$M$44,9,FALSE)="","",(VLOOKUP($B16,'Tarifas e Resoluções'!$B$5:$M$44,9,FALSE)/VLOOKUP($B16,'Tarifas e Resoluções'!$B$5:$M$44,4,FALSE))-1)</f>
        <v>0.38259732266502522</v>
      </c>
      <c r="F16" s="42">
        <f>IF(VLOOKUP($B16,'Tarifas e Resoluções'!$B$5:$M$44,10,FALSE)="","",(VLOOKUP($B16,'Tarifas e Resoluções'!$B$5:$M$44,10,FALSE)/VLOOKUP($B16,'Tarifas e Resoluções'!$B$5:$M$44,5,FALSE))-1)</f>
        <v>0.13240366428068095</v>
      </c>
    </row>
    <row r="17" spans="2:6">
      <c r="B17" s="40" t="s">
        <v>43</v>
      </c>
      <c r="C17" s="41">
        <f>IF(VLOOKUP($B17,'Tarifas e Resoluções'!$B$5:$M$44,7,FALSE)="","",(VLOOKUP($B17,'Tarifas e Resoluções'!$B$5:$M$44,7,FALSE)/VLOOKUP($B17,'Tarifas e Resoluções'!$B$5:$M$44,2,FALSE))-1)</f>
        <v>5.7438987313783496E-2</v>
      </c>
      <c r="D17" s="42">
        <f>IF(VLOOKUP($B17,'Tarifas e Resoluções'!$B$5:$M$44,8,FALSE)="","",(VLOOKUP($B17,'Tarifas e Resoluções'!$B$5:$M$44,8,FALSE)/VLOOKUP($B17,'Tarifas e Resoluções'!$B$5:$M$44,3,FALSE))-1)</f>
        <v>-3.5510915929483078E-3</v>
      </c>
      <c r="E17" s="41">
        <f>IF(VLOOKUP($B17,'Tarifas e Resoluções'!$B$5:$M$44,9,FALSE)="","",(VLOOKUP($B17,'Tarifas e Resoluções'!$B$5:$M$44,9,FALSE)/VLOOKUP($B17,'Tarifas e Resoluções'!$B$5:$M$44,4,FALSE))-1)</f>
        <v>0.21249102656137842</v>
      </c>
      <c r="F17" s="42">
        <f>IF(VLOOKUP($B17,'Tarifas e Resoluções'!$B$5:$M$44,10,FALSE)="","",(VLOOKUP($B17,'Tarifas e Resoluções'!$B$5:$M$44,10,FALSE)/VLOOKUP($B17,'Tarifas e Resoluções'!$B$5:$M$44,5,FALSE))-1)</f>
        <v>-6.0316069683592488E-3</v>
      </c>
    </row>
    <row r="18" spans="2:6">
      <c r="B18" s="40" t="s">
        <v>46</v>
      </c>
      <c r="C18" s="41">
        <f>IF(VLOOKUP($B18,'Tarifas e Resoluções'!$B$5:$M$44,7,FALSE)="","",(VLOOKUP($B18,'Tarifas e Resoluções'!$B$5:$M$44,7,FALSE)/VLOOKUP($B18,'Tarifas e Resoluções'!$B$5:$M$44,2,FALSE))-1)</f>
        <v>1.8030001140108443E-2</v>
      </c>
      <c r="D18" s="42">
        <f>IF(VLOOKUP($B18,'Tarifas e Resoluções'!$B$5:$M$44,8,FALSE)="","",(VLOOKUP($B18,'Tarifas e Resoluções'!$B$5:$M$44,8,FALSE)/VLOOKUP($B18,'Tarifas e Resoluções'!$B$5:$M$44,3,FALSE))-1)</f>
        <v>-1.1301184302190737E-2</v>
      </c>
      <c r="E18" s="41">
        <f>IF(VLOOKUP($B18,'Tarifas e Resoluções'!$B$5:$M$44,9,FALSE)="","",(VLOOKUP($B18,'Tarifas e Resoluções'!$B$5:$M$44,9,FALSE)/VLOOKUP($B18,'Tarifas e Resoluções'!$B$5:$M$44,4,FALSE))-1)</f>
        <v>0.2414266117969821</v>
      </c>
      <c r="F18" s="42">
        <f>IF(VLOOKUP($B18,'Tarifas e Resoluções'!$B$5:$M$44,10,FALSE)="","",(VLOOKUP($B18,'Tarifas e Resoluções'!$B$5:$M$44,10,FALSE)/VLOOKUP($B18,'Tarifas e Resoluções'!$B$5:$M$44,5,FALSE))-1)</f>
        <v>-0.14148627538495873</v>
      </c>
    </row>
    <row r="19" spans="2:6">
      <c r="B19" s="40" t="s">
        <v>49</v>
      </c>
      <c r="C19" s="41">
        <f>IF(VLOOKUP($B19,'Tarifas e Resoluções'!$B$5:$M$44,7,FALSE)="","",(VLOOKUP($B19,'Tarifas e Resoluções'!$B$5:$M$44,7,FALSE)/VLOOKUP($B19,'Tarifas e Resoluções'!$B$5:$M$44,2,FALSE))-1)</f>
        <v>0.26499185225420963</v>
      </c>
      <c r="D19" s="42">
        <f>IF(VLOOKUP($B19,'Tarifas e Resoluções'!$B$5:$M$44,8,FALSE)="","",(VLOOKUP($B19,'Tarifas e Resoluções'!$B$5:$M$44,8,FALSE)/VLOOKUP($B19,'Tarifas e Resoluções'!$B$5:$M$44,3,FALSE))-1)</f>
        <v>0.11141743039515184</v>
      </c>
      <c r="E19" s="41">
        <f>IF(VLOOKUP($B19,'Tarifas e Resoluções'!$B$5:$M$44,9,FALSE)="","",(VLOOKUP($B19,'Tarifas e Resoluções'!$B$5:$M$44,9,FALSE)/VLOOKUP($B19,'Tarifas e Resoluções'!$B$5:$M$44,4,FALSE))-1)</f>
        <v>0.15265548243581417</v>
      </c>
      <c r="F19" s="42">
        <f>IF(VLOOKUP($B19,'Tarifas e Resoluções'!$B$5:$M$44,10,FALSE)="","",(VLOOKUP($B19,'Tarifas e Resoluções'!$B$5:$M$44,10,FALSE)/VLOOKUP($B19,'Tarifas e Resoluções'!$B$5:$M$44,5,FALSE))-1)</f>
        <v>9.8067765928141259E-2</v>
      </c>
    </row>
    <row r="20" spans="2:6">
      <c r="B20" s="40" t="s">
        <v>51</v>
      </c>
      <c r="C20" s="41">
        <f>IF(VLOOKUP($B20,'Tarifas e Resoluções'!$B$5:$M$44,7,FALSE)="","",(VLOOKUP($B20,'Tarifas e Resoluções'!$B$5:$M$44,7,FALSE)/VLOOKUP($B20,'Tarifas e Resoluções'!$B$5:$M$44,2,FALSE))-1)</f>
        <v>8.3790105372584245E-2</v>
      </c>
      <c r="D20" s="42">
        <f>IF(VLOOKUP($B20,'Tarifas e Resoluções'!$B$5:$M$44,8,FALSE)="","",(VLOOKUP($B20,'Tarifas e Resoluções'!$B$5:$M$44,8,FALSE)/VLOOKUP($B20,'Tarifas e Resoluções'!$B$5:$M$44,3,FALSE))-1)</f>
        <v>0.19281131334293566</v>
      </c>
      <c r="E20" s="41">
        <f>IF(VLOOKUP($B20,'Tarifas e Resoluções'!$B$5:$M$44,9,FALSE)="","",(VLOOKUP($B20,'Tarifas e Resoluções'!$B$5:$M$44,9,FALSE)/VLOOKUP($B20,'Tarifas e Resoluções'!$B$5:$M$44,4,FALSE))-1)</f>
        <v>0.32157815379460541</v>
      </c>
      <c r="F20" s="42">
        <f>IF(VLOOKUP($B20,'Tarifas e Resoluções'!$B$5:$M$44,10,FALSE)="","",(VLOOKUP($B20,'Tarifas e Resoluções'!$B$5:$M$44,10,FALSE)/VLOOKUP($B20,'Tarifas e Resoluções'!$B$5:$M$44,5,FALSE))-1)</f>
        <v>0.1883595284872297</v>
      </c>
    </row>
    <row r="21" spans="2:6">
      <c r="B21" s="40" t="s">
        <v>53</v>
      </c>
      <c r="C21" s="41" t="str">
        <f>IF(VLOOKUP($B21,'Tarifas e Resoluções'!$B$5:$M$44,7,FALSE)="","",(VLOOKUP($B21,'Tarifas e Resoluções'!$B$5:$M$44,7,FALSE)/VLOOKUP($B21,'Tarifas e Resoluções'!$B$5:$M$44,2,FALSE))-1)</f>
        <v/>
      </c>
      <c r="D21" s="42" t="str">
        <f>IF(VLOOKUP($B21,'Tarifas e Resoluções'!$B$5:$M$44,8,FALSE)="","",(VLOOKUP($B21,'Tarifas e Resoluções'!$B$5:$M$44,8,FALSE)/VLOOKUP($B21,'Tarifas e Resoluções'!$B$5:$M$44,3,FALSE))-1)</f>
        <v/>
      </c>
      <c r="E21" s="41" t="str">
        <f>IF(VLOOKUP($B21,'Tarifas e Resoluções'!$B$5:$M$44,9,FALSE)="","",(VLOOKUP($B21,'Tarifas e Resoluções'!$B$5:$M$44,9,FALSE)/VLOOKUP($B21,'Tarifas e Resoluções'!$B$5:$M$44,4,FALSE))-1)</f>
        <v/>
      </c>
      <c r="F21" s="42" t="str">
        <f>IF(VLOOKUP($B21,'Tarifas e Resoluções'!$B$5:$M$44,10,FALSE)="","",(VLOOKUP($B21,'Tarifas e Resoluções'!$B$5:$M$44,10,FALSE)/VLOOKUP($B21,'Tarifas e Resoluções'!$B$5:$M$44,5,FALSE))-1)</f>
        <v/>
      </c>
    </row>
    <row r="22" spans="2:6">
      <c r="B22" s="40" t="s">
        <v>55</v>
      </c>
      <c r="C22" s="41">
        <f>IF(VLOOKUP($B22,'Tarifas e Resoluções'!$B$5:$M$44,7,FALSE)="","",(VLOOKUP($B22,'Tarifas e Resoluções'!$B$5:$M$44,7,FALSE)/VLOOKUP($B22,'Tarifas e Resoluções'!$B$5:$M$44,2,FALSE))-1)</f>
        <v>7.5960616979243056E-2</v>
      </c>
      <c r="D22" s="42">
        <f>IF(VLOOKUP($B22,'Tarifas e Resoluções'!$B$5:$M$44,8,FALSE)="","",(VLOOKUP($B22,'Tarifas e Resoluções'!$B$5:$M$44,8,FALSE)/VLOOKUP($B22,'Tarifas e Resoluções'!$B$5:$M$44,3,FALSE))-1)</f>
        <v>-5.146362550948469E-4</v>
      </c>
      <c r="E22" s="41">
        <f>IF(VLOOKUP($B22,'Tarifas e Resoluções'!$B$5:$M$44,9,FALSE)="","",(VLOOKUP($B22,'Tarifas e Resoluções'!$B$5:$M$44,9,FALSE)/VLOOKUP($B22,'Tarifas e Resoluções'!$B$5:$M$44,4,FALSE))-1)</f>
        <v>0.2799257317605941</v>
      </c>
      <c r="F22" s="42">
        <f>IF(VLOOKUP($B22,'Tarifas e Resoluções'!$B$5:$M$44,10,FALSE)="","",(VLOOKUP($B22,'Tarifas e Resoluções'!$B$5:$M$44,10,FALSE)/VLOOKUP($B22,'Tarifas e Resoluções'!$B$5:$M$44,5,FALSE))-1)</f>
        <v>-4.1355679196634632E-2</v>
      </c>
    </row>
    <row r="23" spans="2:6">
      <c r="B23" s="40" t="s">
        <v>58</v>
      </c>
      <c r="C23" s="41">
        <f>IF(VLOOKUP($B23,'Tarifas e Resoluções'!$B$5:$M$44,7,FALSE)="","",(VLOOKUP($B23,'Tarifas e Resoluções'!$B$5:$M$44,7,FALSE)/VLOOKUP($B23,'Tarifas e Resoluções'!$B$5:$M$44,2,FALSE))-1)</f>
        <v>0.11205244013053939</v>
      </c>
      <c r="D23" s="42">
        <f>IF(VLOOKUP($B23,'Tarifas e Resoluções'!$B$5:$M$44,8,FALSE)="","",(VLOOKUP($B23,'Tarifas e Resoluções'!$B$5:$M$44,8,FALSE)/VLOOKUP($B23,'Tarifas e Resoluções'!$B$5:$M$44,3,FALSE))-1)</f>
        <v>8.9903438579078898E-2</v>
      </c>
      <c r="E23" s="41">
        <f>IF(VLOOKUP($B23,'Tarifas e Resoluções'!$B$5:$M$44,9,FALSE)="","",(VLOOKUP($B23,'Tarifas e Resoluções'!$B$5:$M$44,9,FALSE)/VLOOKUP($B23,'Tarifas e Resoluções'!$B$5:$M$44,4,FALSE))-1)</f>
        <v>0.18593695878074135</v>
      </c>
      <c r="F23" s="42">
        <f>IF(VLOOKUP($B23,'Tarifas e Resoluções'!$B$5:$M$44,10,FALSE)="","",(VLOOKUP($B23,'Tarifas e Resoluções'!$B$5:$M$44,10,FALSE)/VLOOKUP($B23,'Tarifas e Resoluções'!$B$5:$M$44,5,FALSE))-1)</f>
        <v>9.2454270822959206E-2</v>
      </c>
    </row>
    <row r="24" spans="2:6">
      <c r="B24" s="40" t="s">
        <v>60</v>
      </c>
      <c r="C24" s="41">
        <f>IF(VLOOKUP($B24,'Tarifas e Resoluções'!$B$5:$M$44,7,FALSE)="","",(VLOOKUP($B24,'Tarifas e Resoluções'!$B$5:$M$44,7,FALSE)/VLOOKUP($B24,'Tarifas e Resoluções'!$B$5:$M$44,2,FALSE))-1)</f>
        <v>0.26882959991788336</v>
      </c>
      <c r="D24" s="42">
        <f>IF(VLOOKUP($B24,'Tarifas e Resoluções'!$B$5:$M$44,8,FALSE)="","",(VLOOKUP($B24,'Tarifas e Resoluções'!$B$5:$M$44,8,FALSE)/VLOOKUP($B24,'Tarifas e Resoluções'!$B$5:$M$44,3,FALSE))-1)</f>
        <v>4.8167058917387928E-2</v>
      </c>
      <c r="E24" s="41">
        <f>IF(VLOOKUP($B24,'Tarifas e Resoluções'!$B$5:$M$44,9,FALSE)="","",(VLOOKUP($B24,'Tarifas e Resoluções'!$B$5:$M$44,9,FALSE)/VLOOKUP($B24,'Tarifas e Resoluções'!$B$5:$M$44,4,FALSE))-1)</f>
        <v>0.57087694340006112</v>
      </c>
      <c r="F24" s="42">
        <f>IF(VLOOKUP($B24,'Tarifas e Resoluções'!$B$5:$M$44,10,FALSE)="","",(VLOOKUP($B24,'Tarifas e Resoluções'!$B$5:$M$44,10,FALSE)/VLOOKUP($B24,'Tarifas e Resoluções'!$B$5:$M$44,5,FALSE))-1)</f>
        <v>0.13530105438401763</v>
      </c>
    </row>
    <row r="25" spans="2:6">
      <c r="B25" s="40" t="s">
        <v>63</v>
      </c>
      <c r="C25" s="41">
        <f>IF(VLOOKUP($B25,'Tarifas e Resoluções'!$B$5:$M$44,7,FALSE)="","",(VLOOKUP($B25,'Tarifas e Resoluções'!$B$5:$M$44,7,FALSE)/VLOOKUP($B25,'Tarifas e Resoluções'!$B$5:$M$44,2,FALSE))-1)</f>
        <v>-0.11222043690102912</v>
      </c>
      <c r="D25" s="42">
        <f>IF(VLOOKUP($B25,'Tarifas e Resoluções'!$B$5:$M$44,8,FALSE)="","",(VLOOKUP($B25,'Tarifas e Resoluções'!$B$5:$M$44,8,FALSE)/VLOOKUP($B25,'Tarifas e Resoluções'!$B$5:$M$44,3,FALSE))-1)</f>
        <v>3.4622114823764649E-2</v>
      </c>
      <c r="E25" s="41">
        <f>IF(VLOOKUP($B25,'Tarifas e Resoluções'!$B$5:$M$44,9,FALSE)="","",(VLOOKUP($B25,'Tarifas e Resoluções'!$B$5:$M$44,9,FALSE)/VLOOKUP($B25,'Tarifas e Resoluções'!$B$5:$M$44,4,FALSE))-1)</f>
        <v>0.24097603234190013</v>
      </c>
      <c r="F25" s="42">
        <f>IF(VLOOKUP($B25,'Tarifas e Resoluções'!$B$5:$M$44,10,FALSE)="","",(VLOOKUP($B25,'Tarifas e Resoluções'!$B$5:$M$44,10,FALSE)/VLOOKUP($B25,'Tarifas e Resoluções'!$B$5:$M$44,5,FALSE))-1)</f>
        <v>4.493475043723949E-2</v>
      </c>
    </row>
    <row r="26" spans="2:6">
      <c r="B26" s="40" t="s">
        <v>65</v>
      </c>
      <c r="C26" s="41">
        <f>IF(VLOOKUP($B26,'Tarifas e Resoluções'!$B$5:$M$44,7,FALSE)="","",(VLOOKUP($B26,'Tarifas e Resoluções'!$B$5:$M$44,7,FALSE)/VLOOKUP($B26,'Tarifas e Resoluções'!$B$5:$M$44,2,FALSE))-1)</f>
        <v>0.20785598732213018</v>
      </c>
      <c r="D26" s="42">
        <f>IF(VLOOKUP($B26,'Tarifas e Resoluções'!$B$5:$M$44,8,FALSE)="","",(VLOOKUP($B26,'Tarifas e Resoluções'!$B$5:$M$44,8,FALSE)/VLOOKUP($B26,'Tarifas e Resoluções'!$B$5:$M$44,3,FALSE))-1)</f>
        <v>0.1495322584543981</v>
      </c>
      <c r="E26" s="41">
        <f>IF(VLOOKUP($B26,'Tarifas e Resoluções'!$B$5:$M$44,9,FALSE)="","",(VLOOKUP($B26,'Tarifas e Resoluções'!$B$5:$M$44,9,FALSE)/VLOOKUP($B26,'Tarifas e Resoluções'!$B$5:$M$44,4,FALSE))-1)</f>
        <v>0.21238938053097334</v>
      </c>
      <c r="F26" s="42">
        <f>IF(VLOOKUP($B26,'Tarifas e Resoluções'!$B$5:$M$44,10,FALSE)="","",(VLOOKUP($B26,'Tarifas e Resoluções'!$B$5:$M$44,10,FALSE)/VLOOKUP($B26,'Tarifas e Resoluções'!$B$5:$M$44,5,FALSE))-1)</f>
        <v>0.14849908741408102</v>
      </c>
    </row>
    <row r="27" spans="2:6">
      <c r="B27" s="40" t="s">
        <v>67</v>
      </c>
      <c r="C27" s="41">
        <f>IF(VLOOKUP($B27,'Tarifas e Resoluções'!$B$5:$M$44,7,FALSE)="","",(VLOOKUP($B27,'Tarifas e Resoluções'!$B$5:$M$44,7,FALSE)/VLOOKUP($B27,'Tarifas e Resoluções'!$B$5:$M$44,2,FALSE))-1)</f>
        <v>-2.4189526184538623E-2</v>
      </c>
      <c r="D27" s="42">
        <f>IF(VLOOKUP($B27,'Tarifas e Resoluções'!$B$5:$M$44,8,FALSE)="","",(VLOOKUP($B27,'Tarifas e Resoluções'!$B$5:$M$44,8,FALSE)/VLOOKUP($B27,'Tarifas e Resoluções'!$B$5:$M$44,3,FALSE))-1)</f>
        <v>9.8611968749160894E-2</v>
      </c>
      <c r="E27" s="41">
        <f>IF(VLOOKUP($B27,'Tarifas e Resoluções'!$B$5:$M$44,9,FALSE)="","",(VLOOKUP($B27,'Tarifas e Resoluções'!$B$5:$M$44,9,FALSE)/VLOOKUP($B27,'Tarifas e Resoluções'!$B$5:$M$44,4,FALSE))-1)</f>
        <v>0.4001808727108298</v>
      </c>
      <c r="F27" s="42">
        <f>IF(VLOOKUP($B27,'Tarifas e Resoluções'!$B$5:$M$44,10,FALSE)="","",(VLOOKUP($B27,'Tarifas e Resoluções'!$B$5:$M$44,10,FALSE)/VLOOKUP($B27,'Tarifas e Resoluções'!$B$5:$M$44,5,FALSE))-1)</f>
        <v>5.5096774193548415E-2</v>
      </c>
    </row>
    <row r="28" spans="2:6">
      <c r="B28" s="40" t="s">
        <v>70</v>
      </c>
      <c r="C28" s="41">
        <f>IF(VLOOKUP($B28,'Tarifas e Resoluções'!$B$5:$M$44,7,FALSE)="","",(VLOOKUP($B28,'Tarifas e Resoluções'!$B$5:$M$44,7,FALSE)/VLOOKUP($B28,'Tarifas e Resoluções'!$B$5:$M$44,2,FALSE))-1)</f>
        <v>9.3015608300939245E-3</v>
      </c>
      <c r="D28" s="42">
        <f>IF(VLOOKUP($B28,'Tarifas e Resoluções'!$B$5:$M$44,8,FALSE)="","",(VLOOKUP($B28,'Tarifas e Resoluções'!$B$5:$M$44,8,FALSE)/VLOOKUP($B28,'Tarifas e Resoluções'!$B$5:$M$44,3,FALSE))-1)</f>
        <v>8.583821805392744E-2</v>
      </c>
      <c r="E28" s="41">
        <f>IF(VLOOKUP($B28,'Tarifas e Resoluções'!$B$5:$M$44,9,FALSE)="","",(VLOOKUP($B28,'Tarifas e Resoluções'!$B$5:$M$44,9,FALSE)/VLOOKUP($B28,'Tarifas e Resoluções'!$B$5:$M$44,4,FALSE))-1)</f>
        <v>0.44036265159543131</v>
      </c>
      <c r="F28" s="42">
        <f>IF(VLOOKUP($B28,'Tarifas e Resoluções'!$B$5:$M$44,10,FALSE)="","",(VLOOKUP($B28,'Tarifas e Resoluções'!$B$5:$M$44,10,FALSE)/VLOOKUP($B28,'Tarifas e Resoluções'!$B$5:$M$44,5,FALSE))-1)</f>
        <v>2.8061323500873314E-2</v>
      </c>
    </row>
    <row r="29" spans="2:6">
      <c r="B29" s="40" t="s">
        <v>73</v>
      </c>
      <c r="C29" s="41" t="str">
        <f>IF(VLOOKUP($B29,'Tarifas e Resoluções'!$B$5:$M$44,7,FALSE)="","",(VLOOKUP($B29,'Tarifas e Resoluções'!$B$5:$M$44,7,FALSE)/VLOOKUP($B29,'Tarifas e Resoluções'!$B$5:$M$44,2,FALSE))-1)</f>
        <v/>
      </c>
      <c r="D29" s="42" t="str">
        <f>IF(VLOOKUP($B29,'Tarifas e Resoluções'!$B$5:$M$44,8,FALSE)="","",(VLOOKUP($B29,'Tarifas e Resoluções'!$B$5:$M$44,8,FALSE)/VLOOKUP($B29,'Tarifas e Resoluções'!$B$5:$M$44,3,FALSE))-1)</f>
        <v/>
      </c>
      <c r="E29" s="41" t="str">
        <f>IF(VLOOKUP($B29,'Tarifas e Resoluções'!$B$5:$M$44,9,FALSE)="","",(VLOOKUP($B29,'Tarifas e Resoluções'!$B$5:$M$44,9,FALSE)/VLOOKUP($B29,'Tarifas e Resoluções'!$B$5:$M$44,4,FALSE))-1)</f>
        <v/>
      </c>
      <c r="F29" s="42" t="str">
        <f>IF(VLOOKUP($B29,'Tarifas e Resoluções'!$B$5:$M$44,10,FALSE)="","",(VLOOKUP($B29,'Tarifas e Resoluções'!$B$5:$M$44,10,FALSE)/VLOOKUP($B29,'Tarifas e Resoluções'!$B$5:$M$44,5,FALSE))-1)</f>
        <v/>
      </c>
    </row>
    <row r="30" spans="2:6">
      <c r="B30" s="40" t="s">
        <v>75</v>
      </c>
      <c r="C30" s="41">
        <f>IF(VLOOKUP($B30,'Tarifas e Resoluções'!$B$5:$M$44,7,FALSE)="","",(VLOOKUP($B30,'Tarifas e Resoluções'!$B$5:$M$44,7,FALSE)/VLOOKUP($B30,'Tarifas e Resoluções'!$B$5:$M$44,2,FALSE))-1)</f>
        <v>4.4013934913756492E-2</v>
      </c>
      <c r="D30" s="42">
        <f>IF(VLOOKUP($B30,'Tarifas e Resoluções'!$B$5:$M$44,8,FALSE)="","",(VLOOKUP($B30,'Tarifas e Resoluções'!$B$5:$M$44,8,FALSE)/VLOOKUP($B30,'Tarifas e Resoluções'!$B$5:$M$44,3,FALSE))-1)</f>
        <v>-2.8478877041436146E-2</v>
      </c>
      <c r="E30" s="41">
        <f>IF(VLOOKUP($B30,'Tarifas e Resoluções'!$B$5:$M$44,9,FALSE)="","",(VLOOKUP($B30,'Tarifas e Resoluções'!$B$5:$M$44,9,FALSE)/VLOOKUP($B30,'Tarifas e Resoluções'!$B$5:$M$44,4,FALSE))-1)</f>
        <v>0.4340875338516641</v>
      </c>
      <c r="F30" s="42">
        <f>IF(VLOOKUP($B30,'Tarifas e Resoluções'!$B$5:$M$44,10,FALSE)="","",(VLOOKUP($B30,'Tarifas e Resoluções'!$B$5:$M$44,10,FALSE)/VLOOKUP($B30,'Tarifas e Resoluções'!$B$5:$M$44,5,FALSE))-1)</f>
        <v>6.010546111582471E-3</v>
      </c>
    </row>
    <row r="31" spans="2:6">
      <c r="B31" s="40" t="s">
        <v>78</v>
      </c>
      <c r="C31" s="41" t="str">
        <f>IF(VLOOKUP($B31,'Tarifas e Resoluções'!$B$5:$M$44,7,FALSE)="","",(VLOOKUP($B31,'Tarifas e Resoluções'!$B$5:$M$44,7,FALSE)/VLOOKUP($B31,'Tarifas e Resoluções'!$B$5:$M$44,2,FALSE))-1)</f>
        <v/>
      </c>
      <c r="D31" s="42" t="str">
        <f>IF(VLOOKUP($B31,'Tarifas e Resoluções'!$B$5:$M$44,8,FALSE)="","",(VLOOKUP($B31,'Tarifas e Resoluções'!$B$5:$M$44,8,FALSE)/VLOOKUP($B31,'Tarifas e Resoluções'!$B$5:$M$44,3,FALSE))-1)</f>
        <v/>
      </c>
      <c r="E31" s="41" t="str">
        <f>IF(VLOOKUP($B31,'Tarifas e Resoluções'!$B$5:$M$44,9,FALSE)="","",(VLOOKUP($B31,'Tarifas e Resoluções'!$B$5:$M$44,9,FALSE)/VLOOKUP($B31,'Tarifas e Resoluções'!$B$5:$M$44,4,FALSE))-1)</f>
        <v/>
      </c>
      <c r="F31" s="42" t="str">
        <f>IF(VLOOKUP($B31,'Tarifas e Resoluções'!$B$5:$M$44,10,FALSE)="","",(VLOOKUP($B31,'Tarifas e Resoluções'!$B$5:$M$44,10,FALSE)/VLOOKUP($B31,'Tarifas e Resoluções'!$B$5:$M$44,5,FALSE))-1)</f>
        <v/>
      </c>
    </row>
    <row r="32" spans="2:6">
      <c r="B32" s="40" t="s">
        <v>80</v>
      </c>
      <c r="C32" s="41" t="str">
        <f>IF(VLOOKUP($B32,'Tarifas e Resoluções'!$B$5:$M$44,7,FALSE)="","",(VLOOKUP($B32,'Tarifas e Resoluções'!$B$5:$M$44,7,FALSE)/VLOOKUP($B32,'Tarifas e Resoluções'!$B$5:$M$44,2,FALSE))-1)</f>
        <v/>
      </c>
      <c r="D32" s="42" t="str">
        <f>IF(VLOOKUP($B32,'Tarifas e Resoluções'!$B$5:$M$44,8,FALSE)="","",(VLOOKUP($B32,'Tarifas e Resoluções'!$B$5:$M$44,8,FALSE)/VLOOKUP($B32,'Tarifas e Resoluções'!$B$5:$M$44,3,FALSE))-1)</f>
        <v/>
      </c>
      <c r="E32" s="41" t="str">
        <f>IF(VLOOKUP($B32,'Tarifas e Resoluções'!$B$5:$M$44,9,FALSE)="","",(VLOOKUP($B32,'Tarifas e Resoluções'!$B$5:$M$44,9,FALSE)/VLOOKUP($B32,'Tarifas e Resoluções'!$B$5:$M$44,4,FALSE))-1)</f>
        <v/>
      </c>
      <c r="F32" s="42" t="str">
        <f>IF(VLOOKUP($B32,'Tarifas e Resoluções'!$B$5:$M$44,10,FALSE)="","",(VLOOKUP($B32,'Tarifas e Resoluções'!$B$5:$M$44,10,FALSE)/VLOOKUP($B32,'Tarifas e Resoluções'!$B$5:$M$44,5,FALSE))-1)</f>
        <v/>
      </c>
    </row>
    <row r="33" spans="2:6">
      <c r="B33" s="40" t="s">
        <v>82</v>
      </c>
      <c r="C33" s="41" t="str">
        <f>IF(VLOOKUP($B33,'Tarifas e Resoluções'!$B$5:$M$44,7,FALSE)="","",(VLOOKUP($B33,'Tarifas e Resoluções'!$B$5:$M$44,7,FALSE)/VLOOKUP($B33,'Tarifas e Resoluções'!$B$5:$M$44,2,FALSE))-1)</f>
        <v/>
      </c>
      <c r="D33" s="42" t="str">
        <f>IF(VLOOKUP($B33,'Tarifas e Resoluções'!$B$5:$M$44,8,FALSE)="","",(VLOOKUP($B33,'Tarifas e Resoluções'!$B$5:$M$44,8,FALSE)/VLOOKUP($B33,'Tarifas e Resoluções'!$B$5:$M$44,3,FALSE))-1)</f>
        <v/>
      </c>
      <c r="E33" s="41" t="str">
        <f>IF(VLOOKUP($B33,'Tarifas e Resoluções'!$B$5:$M$44,9,FALSE)="","",(VLOOKUP($B33,'Tarifas e Resoluções'!$B$5:$M$44,9,FALSE)/VLOOKUP($B33,'Tarifas e Resoluções'!$B$5:$M$44,4,FALSE))-1)</f>
        <v/>
      </c>
      <c r="F33" s="42" t="str">
        <f>IF(VLOOKUP($B33,'Tarifas e Resoluções'!$B$5:$M$44,10,FALSE)="","",(VLOOKUP($B33,'Tarifas e Resoluções'!$B$5:$M$44,10,FALSE)/VLOOKUP($B33,'Tarifas e Resoluções'!$B$5:$M$44,5,FALSE))-1)</f>
        <v/>
      </c>
    </row>
    <row r="34" spans="2:6">
      <c r="B34" s="40" t="s">
        <v>84</v>
      </c>
      <c r="C34" s="41">
        <f>IF(VLOOKUP($B34,'Tarifas e Resoluções'!$B$5:$M$44,7,FALSE)="","",(VLOOKUP($B34,'Tarifas e Resoluções'!$B$5:$M$44,7,FALSE)/VLOOKUP($B34,'Tarifas e Resoluções'!$B$5:$M$44,2,FALSE))-1)</f>
        <v>6.3715706855009824E-2</v>
      </c>
      <c r="D34" s="42">
        <f>IF(VLOOKUP($B34,'Tarifas e Resoluções'!$B$5:$M$44,8,FALSE)="","",(VLOOKUP($B34,'Tarifas e Resoluções'!$B$5:$M$44,8,FALSE)/VLOOKUP($B34,'Tarifas e Resoluções'!$B$5:$M$44,3,FALSE))-1)</f>
        <v>9.8181247336906585E-2</v>
      </c>
      <c r="E34" s="41">
        <f>IF(VLOOKUP($B34,'Tarifas e Resoluções'!$B$5:$M$44,9,FALSE)="","",(VLOOKUP($B34,'Tarifas e Resoluções'!$B$5:$M$44,9,FALSE)/VLOOKUP($B34,'Tarifas e Resoluções'!$B$5:$M$44,4,FALSE))-1)</f>
        <v>0.49040000000000017</v>
      </c>
      <c r="F34" s="42">
        <f>IF(VLOOKUP($B34,'Tarifas e Resoluções'!$B$5:$M$44,10,FALSE)="","",(VLOOKUP($B34,'Tarifas e Resoluções'!$B$5:$M$44,10,FALSE)/VLOOKUP($B34,'Tarifas e Resoluções'!$B$5:$M$44,5,FALSE))-1)</f>
        <v>0.12110502019619163</v>
      </c>
    </row>
    <row r="35" spans="2:6">
      <c r="B35" s="40" t="s">
        <v>87</v>
      </c>
      <c r="C35" s="41">
        <f>IF(VLOOKUP($B35,'Tarifas e Resoluções'!$B$5:$M$44,7,FALSE)="","",(VLOOKUP($B35,'Tarifas e Resoluções'!$B$5:$M$44,7,FALSE)/VLOOKUP($B35,'Tarifas e Resoluções'!$B$5:$M$44,2,FALSE))-1)</f>
        <v>0.10195085237793733</v>
      </c>
      <c r="D35" s="42">
        <f>IF(VLOOKUP($B35,'Tarifas e Resoluções'!$B$5:$M$44,8,FALSE)="","",(VLOOKUP($B35,'Tarifas e Resoluções'!$B$5:$M$44,8,FALSE)/VLOOKUP($B35,'Tarifas e Resoluções'!$B$5:$M$44,3,FALSE))-1)</f>
        <v>9.8581285724045342E-2</v>
      </c>
      <c r="E35" s="41">
        <f>IF(VLOOKUP($B35,'Tarifas e Resoluções'!$B$5:$M$44,9,FALSE)="","",(VLOOKUP($B35,'Tarifas e Resoluções'!$B$5:$M$44,9,FALSE)/VLOOKUP($B35,'Tarifas e Resoluções'!$B$5:$M$44,4,FALSE))-1)</f>
        <v>0.20447820871651357</v>
      </c>
      <c r="F35" s="42">
        <f>IF(VLOOKUP($B35,'Tarifas e Resoluções'!$B$5:$M$44,10,FALSE)="","",(VLOOKUP($B35,'Tarifas e Resoluções'!$B$5:$M$44,10,FALSE)/VLOOKUP($B35,'Tarifas e Resoluções'!$B$5:$M$44,5,FALSE))-1)</f>
        <v>0.10360459165021552</v>
      </c>
    </row>
    <row r="36" spans="2:6">
      <c r="B36" s="40" t="s">
        <v>89</v>
      </c>
      <c r="C36" s="41">
        <f>IF(VLOOKUP($B36,'Tarifas e Resoluções'!$B$5:$M$44,7,FALSE)="","",(VLOOKUP($B36,'Tarifas e Resoluções'!$B$5:$M$44,7,FALSE)/VLOOKUP($B36,'Tarifas e Resoluções'!$B$5:$M$44,2,FALSE))-1)</f>
        <v>4.218519475539928E-2</v>
      </c>
      <c r="D36" s="42">
        <f>IF(VLOOKUP($B36,'Tarifas e Resoluções'!$B$5:$M$44,8,FALSE)="","",(VLOOKUP($B36,'Tarifas e Resoluções'!$B$5:$M$44,8,FALSE)/VLOOKUP($B36,'Tarifas e Resoluções'!$B$5:$M$44,3,FALSE))-1)</f>
        <v>4.6023605716656091E-2</v>
      </c>
      <c r="E36" s="41">
        <f>IF(VLOOKUP($B36,'Tarifas e Resoluções'!$B$5:$M$44,9,FALSE)="","",(VLOOKUP($B36,'Tarifas e Resoluções'!$B$5:$M$44,9,FALSE)/VLOOKUP($B36,'Tarifas e Resoluções'!$B$5:$M$44,4,FALSE))-1)</f>
        <v>0.37693507740309595</v>
      </c>
      <c r="F36" s="42">
        <f>IF(VLOOKUP($B36,'Tarifas e Resoluções'!$B$5:$M$44,10,FALSE)="","",(VLOOKUP($B36,'Tarifas e Resoluções'!$B$5:$M$44,10,FALSE)/VLOOKUP($B36,'Tarifas e Resoluções'!$B$5:$M$44,5,FALSE))-1)</f>
        <v>-0.11723258215392096</v>
      </c>
    </row>
    <row r="37" spans="2:6">
      <c r="B37" s="40" t="s">
        <v>92</v>
      </c>
      <c r="C37" s="41">
        <f>IF(VLOOKUP($B37,'Tarifas e Resoluções'!$B$5:$M$44,7,FALSE)="","",(VLOOKUP($B37,'Tarifas e Resoluções'!$B$5:$M$44,7,FALSE)/VLOOKUP($B37,'Tarifas e Resoluções'!$B$5:$M$44,2,FALSE))-1)</f>
        <v>0.11109949328400215</v>
      </c>
      <c r="D37" s="42">
        <f>IF(VLOOKUP($B37,'Tarifas e Resoluções'!$B$5:$M$44,8,FALSE)="","",(VLOOKUP($B37,'Tarifas e Resoluções'!$B$5:$M$44,8,FALSE)/VLOOKUP($B37,'Tarifas e Resoluções'!$B$5:$M$44,3,FALSE))-1)</f>
        <v>1.1939010356731838E-2</v>
      </c>
      <c r="E37" s="41">
        <f>IF(VLOOKUP($B37,'Tarifas e Resoluções'!$B$5:$M$44,9,FALSE)="","",(VLOOKUP($B37,'Tarifas e Resoluções'!$B$5:$M$44,9,FALSE)/VLOOKUP($B37,'Tarifas e Resoluções'!$B$5:$M$44,4,FALSE))-1)</f>
        <v>9.4750320102432894E-2</v>
      </c>
      <c r="F37" s="42">
        <f>IF(VLOOKUP($B37,'Tarifas e Resoluções'!$B$5:$M$44,10,FALSE)="","",(VLOOKUP($B37,'Tarifas e Resoluções'!$B$5:$M$44,10,FALSE)/VLOOKUP($B37,'Tarifas e Resoluções'!$B$5:$M$44,5,FALSE))-1)</f>
        <v>1.5339663988312768E-2</v>
      </c>
    </row>
    <row r="38" spans="2:6">
      <c r="B38" s="40" t="s">
        <v>94</v>
      </c>
      <c r="C38" s="41">
        <f>IF(VLOOKUP($B38,'Tarifas e Resoluções'!$B$5:$M$44,7,FALSE)="","",(VLOOKUP($B38,'Tarifas e Resoluções'!$B$5:$M$44,7,FALSE)/VLOOKUP($B38,'Tarifas e Resoluções'!$B$5:$M$44,2,FALSE))-1)</f>
        <v>0.3126614987080103</v>
      </c>
      <c r="D38" s="42">
        <f>IF(VLOOKUP($B38,'Tarifas e Resoluções'!$B$5:$M$44,8,FALSE)="","",(VLOOKUP($B38,'Tarifas e Resoluções'!$B$5:$M$44,8,FALSE)/VLOOKUP($B38,'Tarifas e Resoluções'!$B$5:$M$44,3,FALSE))-1)</f>
        <v>-0.2614713320919374</v>
      </c>
      <c r="E38" s="41">
        <f>IF(VLOOKUP($B38,'Tarifas e Resoluções'!$B$5:$M$44,9,FALSE)="","",(VLOOKUP($B38,'Tarifas e Resoluções'!$B$5:$M$44,9,FALSE)/VLOOKUP($B38,'Tarifas e Resoluções'!$B$5:$M$44,4,FALSE))-1)</f>
        <v>0.38088106181893311</v>
      </c>
      <c r="F38" s="42">
        <f>IF(VLOOKUP($B38,'Tarifas e Resoluções'!$B$5:$M$44,10,FALSE)="","",(VLOOKUP($B38,'Tarifas e Resoluções'!$B$5:$M$44,10,FALSE)/VLOOKUP($B38,'Tarifas e Resoluções'!$B$5:$M$44,5,FALSE))-1)</f>
        <v>-0.60935968216294312</v>
      </c>
    </row>
    <row r="39" spans="2:6">
      <c r="B39" s="40" t="s">
        <v>97</v>
      </c>
      <c r="C39" s="41" t="str">
        <f>IF(VLOOKUP($B39,'Tarifas e Resoluções'!$B$5:$M$44,7,FALSE)="","",(VLOOKUP($B39,'Tarifas e Resoluções'!$B$5:$M$44,7,FALSE)/VLOOKUP($B39,'Tarifas e Resoluções'!$B$5:$M$44,2,FALSE))-1)</f>
        <v/>
      </c>
      <c r="D39" s="42" t="str">
        <f>IF(VLOOKUP($B39,'Tarifas e Resoluções'!$B$5:$M$44,8,FALSE)="","",(VLOOKUP($B39,'Tarifas e Resoluções'!$B$5:$M$44,8,FALSE)/VLOOKUP($B39,'Tarifas e Resoluções'!$B$5:$M$44,3,FALSE))-1)</f>
        <v/>
      </c>
      <c r="E39" s="41" t="str">
        <f>IF(VLOOKUP($B39,'Tarifas e Resoluções'!$B$5:$M$44,9,FALSE)="","",(VLOOKUP($B39,'Tarifas e Resoluções'!$B$5:$M$44,9,FALSE)/VLOOKUP($B39,'Tarifas e Resoluções'!$B$5:$M$44,4,FALSE))-1)</f>
        <v/>
      </c>
      <c r="F39" s="42" t="str">
        <f>IF(VLOOKUP($B39,'Tarifas e Resoluções'!$B$5:$M$44,10,FALSE)="","",(VLOOKUP($B39,'Tarifas e Resoluções'!$B$5:$M$44,10,FALSE)/VLOOKUP($B39,'Tarifas e Resoluções'!$B$5:$M$44,5,FALSE))-1)</f>
        <v/>
      </c>
    </row>
    <row r="40" spans="2:6">
      <c r="B40" s="40" t="s">
        <v>99</v>
      </c>
      <c r="C40" s="41">
        <f>IF(VLOOKUP($B40,'Tarifas e Resoluções'!$B$5:$M$44,7,FALSE)="","",(VLOOKUP($B40,'Tarifas e Resoluções'!$B$5:$M$44,7,FALSE)/VLOOKUP($B40,'Tarifas e Resoluções'!$B$5:$M$44,2,FALSE))-1)</f>
        <v>0.21290120744971186</v>
      </c>
      <c r="D40" s="42">
        <f>IF(VLOOKUP($B40,'Tarifas e Resoluções'!$B$5:$M$44,8,FALSE)="","",(VLOOKUP($B40,'Tarifas e Resoluções'!$B$5:$M$44,8,FALSE)/VLOOKUP($B40,'Tarifas e Resoluções'!$B$5:$M$44,3,FALSE))-1)</f>
        <v>-1.8192258502336078E-2</v>
      </c>
      <c r="E40" s="41">
        <f>IF(VLOOKUP($B40,'Tarifas e Resoluções'!$B$5:$M$44,9,FALSE)="","",(VLOOKUP($B40,'Tarifas e Resoluções'!$B$5:$M$44,9,FALSE)/VLOOKUP($B40,'Tarifas e Resoluções'!$B$5:$M$44,4,FALSE))-1)</f>
        <v>0.26069667567997468</v>
      </c>
      <c r="F40" s="42">
        <f>IF(VLOOKUP($B40,'Tarifas e Resoluções'!$B$5:$M$44,10,FALSE)="","",(VLOOKUP($B40,'Tarifas e Resoluções'!$B$5:$M$44,10,FALSE)/VLOOKUP($B40,'Tarifas e Resoluções'!$B$5:$M$44,5,FALSE))-1)</f>
        <v>1.9413714433300422E-2</v>
      </c>
    </row>
    <row r="41" spans="2:6">
      <c r="B41" s="40" t="s">
        <v>103</v>
      </c>
      <c r="C41" s="41">
        <f>IF(VLOOKUP($B41,'Tarifas e Resoluções'!$B$5:$M$44,7,FALSE)="","",(VLOOKUP($B41,'Tarifas e Resoluções'!$B$5:$M$44,7,FALSE)/VLOOKUP($B41,'Tarifas e Resoluções'!$B$5:$M$44,2,FALSE))-1)</f>
        <v>-5.6048545908072067E-2</v>
      </c>
      <c r="D41" s="42">
        <f>IF(VLOOKUP($B41,'Tarifas e Resoluções'!$B$5:$M$44,8,FALSE)="","",(VLOOKUP($B41,'Tarifas e Resoluções'!$B$5:$M$44,8,FALSE)/VLOOKUP($B41,'Tarifas e Resoluções'!$B$5:$M$44,3,FALSE))-1)</f>
        <v>3.692330597584359E-2</v>
      </c>
      <c r="E41" s="41">
        <f>IF(VLOOKUP($B41,'Tarifas e Resoluções'!$B$5:$M$44,9,FALSE)="","",(VLOOKUP($B41,'Tarifas e Resoluções'!$B$5:$M$44,9,FALSE)/VLOOKUP($B41,'Tarifas e Resoluções'!$B$5:$M$44,4,FALSE))-1)</f>
        <v>0.14990109165506627</v>
      </c>
      <c r="F41" s="42">
        <f>IF(VLOOKUP($B41,'Tarifas e Resoluções'!$B$5:$M$44,10,FALSE)="","",(VLOOKUP($B41,'Tarifas e Resoluções'!$B$5:$M$44,10,FALSE)/VLOOKUP($B41,'Tarifas e Resoluções'!$B$5:$M$44,5,FALSE))-1)</f>
        <v>3.1556464713314414E-2</v>
      </c>
    </row>
    <row r="42" spans="2:6">
      <c r="B42" s="40" t="s">
        <v>106</v>
      </c>
      <c r="C42" s="41">
        <f>IF(VLOOKUP($B42,'Tarifas e Resoluções'!$B$5:$M$44,7,FALSE)="","",(VLOOKUP($B42,'Tarifas e Resoluções'!$B$5:$M$44,7,FALSE)/VLOOKUP($B42,'Tarifas e Resoluções'!$B$5:$M$44,2,FALSE))-1)</f>
        <v>6.4708418751371122E-2</v>
      </c>
      <c r="D42" s="42">
        <f>IF(VLOOKUP($B42,'Tarifas e Resoluções'!$B$5:$M$44,8,FALSE)="","",(VLOOKUP($B42,'Tarifas e Resoluções'!$B$5:$M$44,8,FALSE)/VLOOKUP($B42,'Tarifas e Resoluções'!$B$5:$M$44,3,FALSE))-1)</f>
        <v>7.9340223405365951E-2</v>
      </c>
      <c r="E42" s="41">
        <f>IF(VLOOKUP($B42,'Tarifas e Resoluções'!$B$5:$M$44,9,FALSE)="","",(VLOOKUP($B42,'Tarifas e Resoluções'!$B$5:$M$44,9,FALSE)/VLOOKUP($B42,'Tarifas e Resoluções'!$B$5:$M$44,4,FALSE))-1)</f>
        <v>0.12627543132768526</v>
      </c>
      <c r="F42" s="42">
        <f>IF(VLOOKUP($B42,'Tarifas e Resoluções'!$B$5:$M$44,10,FALSE)="","",(VLOOKUP($B42,'Tarifas e Resoluções'!$B$5:$M$44,10,FALSE)/VLOOKUP($B42,'Tarifas e Resoluções'!$B$5:$M$44,5,FALSE))-1)</f>
        <v>6.9475437135720242E-2</v>
      </c>
    </row>
    <row r="43" spans="2:6">
      <c r="B43" s="43" t="s">
        <v>108</v>
      </c>
      <c r="C43" s="44" t="str">
        <f>IF(VLOOKUP($B43,'Tarifas e Resoluções'!$B$5:$M$44,7,FALSE)="","",(VLOOKUP($B43,'Tarifas e Resoluções'!$B$5:$M$44,7,FALSE)/VLOOKUP($B43,'Tarifas e Resoluções'!$B$5:$M$44,2,FALSE))-1)</f>
        <v/>
      </c>
      <c r="D43" s="45" t="str">
        <f>IF(VLOOKUP($B43,'Tarifas e Resoluções'!$B$5:$M$44,8,FALSE)="","",(VLOOKUP($B43,'Tarifas e Resoluções'!$B$5:$M$44,8,FALSE)/VLOOKUP($B43,'Tarifas e Resoluções'!$B$5:$M$44,3,FALSE))-1)</f>
        <v/>
      </c>
      <c r="E43" s="44" t="str">
        <f>IF(VLOOKUP($B43,'Tarifas e Resoluções'!$B$5:$M$44,9,FALSE)="","",(VLOOKUP($B43,'Tarifas e Resoluções'!$B$5:$M$44,9,FALSE)/VLOOKUP($B43,'Tarifas e Resoluções'!$B$5:$M$44,4,FALSE))-1)</f>
        <v/>
      </c>
      <c r="F43" s="45" t="str">
        <f>IF(VLOOKUP($B43,'Tarifas e Resoluções'!$B$5:$M$44,10,FALSE)="","",(VLOOKUP($B43,'Tarifas e Resoluções'!$B$5:$M$44,10,FALSE)/VLOOKUP($B43,'Tarifas e Resoluções'!$B$5:$M$44,5,FALSE))-1)</f>
        <v/>
      </c>
    </row>
    <row r="46" spans="2:6">
      <c r="C46" s="36"/>
      <c r="D46" s="36"/>
    </row>
    <row r="47" spans="2:6">
      <c r="C47" s="36"/>
      <c r="D47" s="36"/>
    </row>
    <row r="50" spans="3:4">
      <c r="C50" s="36"/>
      <c r="D50" s="36"/>
    </row>
    <row r="55" spans="3:4">
      <c r="C55" s="36"/>
      <c r="D55" s="36"/>
    </row>
  </sheetData>
  <mergeCells count="3">
    <mergeCell ref="C2:D2"/>
    <mergeCell ref="E2:F2"/>
    <mergeCell ref="B2:B3"/>
  </mergeCells>
  <conditionalFormatting sqref="C4:C4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D4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D4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F4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F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56"/>
  <sheetViews>
    <sheetView showGridLines="0" tabSelected="1" view="pageBreakPreview" zoomScale="85" zoomScaleNormal="100" zoomScaleSheetLayoutView="85" workbookViewId="0">
      <selection activeCell="E5" sqref="E5"/>
    </sheetView>
  </sheetViews>
  <sheetFormatPr defaultColWidth="9.140625" defaultRowHeight="12.75"/>
  <cols>
    <col min="1" max="1" width="2.5703125" customWidth="1"/>
    <col min="2" max="2" width="36.85546875" customWidth="1"/>
    <col min="3" max="3" width="7.42578125" style="1" customWidth="1"/>
    <col min="4" max="4" width="6.140625" customWidth="1"/>
    <col min="5" max="5" width="11.85546875" customWidth="1"/>
    <col min="6" max="9" width="11" customWidth="1"/>
    <col min="10" max="10" width="11"/>
    <col min="12" max="12" width="30.42578125" customWidth="1"/>
    <col min="13" max="13" width="7.42578125" style="1" customWidth="1"/>
    <col min="14" max="14" width="13" customWidth="1"/>
  </cols>
  <sheetData>
    <row r="2" spans="2:14" ht="15">
      <c r="B2" s="74" t="s">
        <v>0</v>
      </c>
      <c r="C2" s="76" t="s">
        <v>110</v>
      </c>
      <c r="D2" s="76" t="s">
        <v>111</v>
      </c>
      <c r="E2" s="78" t="s">
        <v>112</v>
      </c>
      <c r="F2" s="88" t="s">
        <v>1</v>
      </c>
      <c r="G2" s="89"/>
      <c r="H2" s="90" t="s">
        <v>2</v>
      </c>
      <c r="I2" s="91"/>
      <c r="J2" s="80" t="s">
        <v>23</v>
      </c>
      <c r="L2" s="82" t="s">
        <v>113</v>
      </c>
      <c r="M2" s="83"/>
      <c r="N2" s="84"/>
    </row>
    <row r="3" spans="2:14" ht="15">
      <c r="B3" s="75"/>
      <c r="C3" s="77"/>
      <c r="D3" s="77"/>
      <c r="E3" s="79"/>
      <c r="F3" s="92" t="s">
        <v>114</v>
      </c>
      <c r="G3" s="93"/>
      <c r="H3" s="94" t="s">
        <v>114</v>
      </c>
      <c r="I3" s="95"/>
      <c r="J3" s="81"/>
      <c r="L3" s="85"/>
      <c r="M3" s="86"/>
      <c r="N3" s="87"/>
    </row>
    <row r="4" spans="2:14" ht="15">
      <c r="B4" s="75"/>
      <c r="C4" s="77"/>
      <c r="D4" s="77"/>
      <c r="E4" s="79"/>
      <c r="F4" s="5" t="s">
        <v>115</v>
      </c>
      <c r="G4" s="6" t="s">
        <v>116</v>
      </c>
      <c r="H4" s="7" t="s">
        <v>115</v>
      </c>
      <c r="I4" s="8" t="s">
        <v>116</v>
      </c>
      <c r="J4" s="81"/>
      <c r="L4" s="9" t="s">
        <v>117</v>
      </c>
      <c r="M4" s="10" t="s">
        <v>110</v>
      </c>
      <c r="N4" s="11" t="s">
        <v>118</v>
      </c>
    </row>
    <row r="5" spans="2:14" ht="15">
      <c r="B5" s="12" t="str">
        <f>'Tarifas e Resoluções'!B5</f>
        <v>Equatorial PA</v>
      </c>
      <c r="C5" s="2" t="s">
        <v>119</v>
      </c>
      <c r="D5" s="13">
        <f>VLOOKUP(C5,Rascunho!$B$3:$C$29,2,FALSE)</f>
        <v>0.19</v>
      </c>
      <c r="E5" s="14">
        <v>0.05</v>
      </c>
      <c r="F5" s="15">
        <f>VLOOKUP($B5,'Tarifas e Resoluções'!$B$5:$M$44,2,FALSE)+VLOOKUP($B5,'Tarifas e Resoluções'!$B$5:$M$44,3,FALSE)</f>
        <v>3.02115</v>
      </c>
      <c r="G5" s="16">
        <f>F5/(1-E5)/(1-D5)</f>
        <v>3.926120857699805</v>
      </c>
      <c r="H5" s="17">
        <f>IF(VLOOKUP($B5,'Tarifas e Resoluções'!$B$5:$M$44,7,FALSE)="","",VLOOKUP($B5,'Tarifas e Resoluções'!$B$5:$M$44,7,FALSE)+VLOOKUP($B5,'Tarifas e Resoluções'!$B$5:$M$44,8,FALSE))</f>
        <v>3.0117699999999998</v>
      </c>
      <c r="I5" s="18">
        <f>IFERROR(H5/(1-E5)/(1-D5),"")</f>
        <v>3.9139311241065622</v>
      </c>
      <c r="J5" s="19">
        <f>IFERROR(I5/G5-1,"")</f>
        <v>-3.1047779818944576E-3</v>
      </c>
      <c r="L5" s="21" t="str">
        <f>VLOOKUP(N5,Rascunho!$E$4:$G$43,2,FALSE)</f>
        <v>Equatorial AP (CEA)</v>
      </c>
      <c r="M5" s="22" t="str">
        <f>VLOOKUP(N5,Rascunho!$E$4:$G$43,3,FALSE)</f>
        <v>AP</v>
      </c>
      <c r="N5" s="23">
        <f>LARGE(Rascunho!$E$4:$E$43,1)</f>
        <v>4.188613607188703</v>
      </c>
    </row>
    <row r="6" spans="2:14" ht="15">
      <c r="B6" s="12" t="str">
        <f>'Tarifas e Resoluções'!B6</f>
        <v>Energisa TO (ETO)</v>
      </c>
      <c r="C6" s="2" t="s">
        <v>120</v>
      </c>
      <c r="D6" s="13">
        <f>VLOOKUP(C6,Rascunho!$B$3:$C$29,2,FALSE)</f>
        <v>0.2</v>
      </c>
      <c r="E6" s="14">
        <f>E5</f>
        <v>0.05</v>
      </c>
      <c r="F6" s="15">
        <f>VLOOKUP($B6,'Tarifas e Resoluções'!$B$5:$M$44,2,FALSE)+VLOOKUP($B6,'Tarifas e Resoluções'!$B$5:$M$44,3,FALSE)</f>
        <v>2.48116</v>
      </c>
      <c r="G6" s="16">
        <f t="shared" ref="G6:G44" si="0">F6/(1-E6)/(1-D6)</f>
        <v>3.2646842105263154</v>
      </c>
      <c r="H6" s="17">
        <f>IF(VLOOKUP($B6,'Tarifas e Resoluções'!$B$5:$M$44,7,FALSE)="","",VLOOKUP($B6,'Tarifas e Resoluções'!$B$5:$M$44,7,FALSE)+VLOOKUP($B6,'Tarifas e Resoluções'!$B$5:$M$44,8,FALSE))</f>
        <v>2.5768899999999997</v>
      </c>
      <c r="I6" s="18">
        <f t="shared" ref="I6:I44" si="1">IFERROR(H6/(1-E6)/(1-D6),"")</f>
        <v>3.3906447368421047</v>
      </c>
      <c r="J6" s="19">
        <f t="shared" ref="J6:J44" si="2">IFERROR(I6/G6-1,"")</f>
        <v>3.858275967692526E-2</v>
      </c>
      <c r="L6" s="21" t="str">
        <f>VLOOKUP(N6,Rascunho!$E$4:$G$43,2,FALSE)</f>
        <v>Energisa AC (EAC)</v>
      </c>
      <c r="M6" s="22" t="str">
        <f>VLOOKUP(N6,Rascunho!$E$4:$G$43,3,FALSE)</f>
        <v>AC</v>
      </c>
      <c r="N6" s="23">
        <f>LARGE(Rascunho!$E$4:$E$43,2)</f>
        <v>3.9532033788174141</v>
      </c>
    </row>
    <row r="7" spans="2:14" ht="15">
      <c r="B7" s="12" t="str">
        <f>'Tarifas e Resoluções'!B7</f>
        <v>Equatorial MA</v>
      </c>
      <c r="C7" s="2" t="s">
        <v>121</v>
      </c>
      <c r="D7" s="13">
        <f>VLOOKUP(C7,Rascunho!$B$3:$C$29,2,FALSE)</f>
        <v>0.22</v>
      </c>
      <c r="E7" s="14">
        <f t="shared" ref="E7:E44" si="3">E6</f>
        <v>0.05</v>
      </c>
      <c r="F7" s="15">
        <f>VLOOKUP($B7,'Tarifas e Resoluções'!$B$5:$M$44,2,FALSE)+VLOOKUP($B7,'Tarifas e Resoluções'!$B$5:$M$44,3,FALSE)</f>
        <v>2.80816</v>
      </c>
      <c r="G7" s="16">
        <f t="shared" si="0"/>
        <v>3.7896896086369769</v>
      </c>
      <c r="H7" s="17">
        <f>IF(VLOOKUP($B7,'Tarifas e Resoluções'!$B$5:$M$44,7,FALSE)="","",VLOOKUP($B7,'Tarifas e Resoluções'!$B$5:$M$44,7,FALSE)+VLOOKUP($B7,'Tarifas e Resoluções'!$B$5:$M$44,8,FALSE))</f>
        <v>2.8653</v>
      </c>
      <c r="I7" s="18">
        <f t="shared" si="1"/>
        <v>3.8668016194331982</v>
      </c>
      <c r="J7" s="19">
        <f t="shared" si="2"/>
        <v>2.0347843427724888E-2</v>
      </c>
      <c r="L7" s="21" t="str">
        <f>VLOOKUP(N7,Rascunho!$E$4:$G$43,2,FALSE)</f>
        <v>Equatorial PA</v>
      </c>
      <c r="M7" s="22" t="str">
        <f>VLOOKUP(N7,Rascunho!$E$4:$G$43,3,FALSE)</f>
        <v>PA</v>
      </c>
      <c r="N7" s="23">
        <f>LARGE(Rascunho!$E$4:$E$43,3)</f>
        <v>3.9139311241065622</v>
      </c>
    </row>
    <row r="8" spans="2:14" ht="15">
      <c r="B8" s="12" t="str">
        <f>'Tarifas e Resoluções'!B8</f>
        <v>Energisa AC (EAC)</v>
      </c>
      <c r="C8" s="2" t="s">
        <v>122</v>
      </c>
      <c r="D8" s="13">
        <f>VLOOKUP(C8,Rascunho!$B$3:$C$29,2,FALSE)</f>
        <v>0.19</v>
      </c>
      <c r="E8" s="14">
        <f t="shared" si="3"/>
        <v>0.05</v>
      </c>
      <c r="F8" s="15">
        <f>VLOOKUP($B8,'Tarifas e Resoluções'!$B$5:$M$44,2,FALSE)+VLOOKUP($B8,'Tarifas e Resoluções'!$B$5:$M$44,3,FALSE)</f>
        <v>3.0419900000000002</v>
      </c>
      <c r="G8" s="16">
        <f t="shared" si="0"/>
        <v>3.9532033788174141</v>
      </c>
      <c r="H8" s="17" t="str">
        <f>IF(VLOOKUP($B8,'Tarifas e Resoluções'!$B$5:$M$44,7,FALSE)="","",VLOOKUP($B8,'Tarifas e Resoluções'!$B$5:$M$44,7,FALSE)+VLOOKUP($B8,'Tarifas e Resoluções'!$B$5:$M$44,8,FALSE))</f>
        <v/>
      </c>
      <c r="I8" s="18" t="str">
        <f t="shared" si="1"/>
        <v/>
      </c>
      <c r="J8" s="19" t="str">
        <f t="shared" si="2"/>
        <v/>
      </c>
      <c r="L8" s="21" t="str">
        <f>VLOOKUP(N8,Rascunho!$E$4:$G$43,2,FALSE)</f>
        <v>Neoenergia BA (COELBA)</v>
      </c>
      <c r="M8" s="22" t="str">
        <f>VLOOKUP(N8,Rascunho!$E$4:$G$43,3,FALSE)</f>
        <v>BA</v>
      </c>
      <c r="N8" s="23">
        <f>LARGE(Rascunho!$E$4:$E$43,4)</f>
        <v>3.8685933673932102</v>
      </c>
    </row>
    <row r="9" spans="2:14" ht="15">
      <c r="B9" s="12" t="str">
        <f>'Tarifas e Resoluções'!B9</f>
        <v>Energisa RO (ERO)</v>
      </c>
      <c r="C9" s="2" t="s">
        <v>123</v>
      </c>
      <c r="D9" s="13">
        <f>VLOOKUP(C9,Rascunho!$B$3:$C$29,2,FALSE)</f>
        <v>0.19500000000000001</v>
      </c>
      <c r="E9" s="14">
        <f t="shared" si="3"/>
        <v>0.05</v>
      </c>
      <c r="F9" s="15">
        <f>VLOOKUP($B9,'Tarifas e Resoluções'!$B$5:$M$44,2,FALSE)+VLOOKUP($B9,'Tarifas e Resoluções'!$B$5:$M$44,3,FALSE)</f>
        <v>2.9157000000000002</v>
      </c>
      <c r="G9" s="16">
        <f t="shared" si="0"/>
        <v>3.8126185027786867</v>
      </c>
      <c r="H9" s="17" t="str">
        <f>IF(VLOOKUP($B9,'Tarifas e Resoluções'!$B$5:$M$44,7,FALSE)="","",VLOOKUP($B9,'Tarifas e Resoluções'!$B$5:$M$44,7,FALSE)+VLOOKUP($B9,'Tarifas e Resoluções'!$B$5:$M$44,8,FALSE))</f>
        <v/>
      </c>
      <c r="I9" s="18" t="str">
        <f t="shared" si="1"/>
        <v/>
      </c>
      <c r="J9" s="19" t="str">
        <f t="shared" si="2"/>
        <v/>
      </c>
      <c r="L9" s="21" t="str">
        <f>VLOOKUP(N9,Rascunho!$E$4:$G$43,2,FALSE)</f>
        <v>Equatorial MA</v>
      </c>
      <c r="M9" s="22" t="str">
        <f>VLOOKUP(N9,Rascunho!$E$4:$G$43,3,FALSE)</f>
        <v>MA</v>
      </c>
      <c r="N9" s="23">
        <f>LARGE(Rascunho!$E$4:$E$43,5)</f>
        <v>3.8668016194331982</v>
      </c>
    </row>
    <row r="10" spans="2:14" ht="15">
      <c r="B10" s="12" t="str">
        <f>'Tarifas e Resoluções'!B10</f>
        <v>LIGHT (LIGHT SESA)</v>
      </c>
      <c r="C10" s="2" t="s">
        <v>124</v>
      </c>
      <c r="D10" s="13">
        <f>VLOOKUP(C10,Rascunho!$B$3:$C$29,2,FALSE)</f>
        <v>0.22</v>
      </c>
      <c r="E10" s="14">
        <f t="shared" si="3"/>
        <v>0.05</v>
      </c>
      <c r="F10" s="15">
        <f>VLOOKUP($B10,'Tarifas e Resoluções'!$B$5:$M$44,2,FALSE)+VLOOKUP($B10,'Tarifas e Resoluções'!$B$5:$M$44,3,FALSE)</f>
        <v>1.5838000000000001</v>
      </c>
      <c r="G10" s="16">
        <f t="shared" si="0"/>
        <v>2.1373819163292849</v>
      </c>
      <c r="H10" s="17">
        <f>IF(VLOOKUP($B10,'Tarifas e Resoluções'!$B$5:$M$44,7,FALSE)="","",VLOOKUP($B10,'Tarifas e Resoluções'!$B$5:$M$44,7,FALSE)+VLOOKUP($B10,'Tarifas e Resoluções'!$B$5:$M$44,8,FALSE))</f>
        <v>1.61374</v>
      </c>
      <c r="I10" s="18">
        <f t="shared" si="1"/>
        <v>2.1777867746288799</v>
      </c>
      <c r="J10" s="19">
        <f t="shared" si="2"/>
        <v>1.890390200782921E-2</v>
      </c>
      <c r="L10" s="21" t="str">
        <f>VLOOKUP(N10,Rascunho!$E$4:$G$43,2,FALSE)</f>
        <v>Energisa RO (ERO)</v>
      </c>
      <c r="M10" s="22" t="str">
        <f>VLOOKUP(N10,Rascunho!$E$4:$G$43,3,FALSE)</f>
        <v>RO</v>
      </c>
      <c r="N10" s="23">
        <f>LARGE(Rascunho!$E$4:$E$43,6)</f>
        <v>3.8126185027786867</v>
      </c>
    </row>
    <row r="11" spans="2:14" ht="15">
      <c r="B11" s="12" t="str">
        <f>'Tarifas e Resoluções'!B11</f>
        <v>Energisa MT (EMT)</v>
      </c>
      <c r="C11" s="2" t="s">
        <v>125</v>
      </c>
      <c r="D11" s="13">
        <f>VLOOKUP(C11,Rascunho!$B$3:$C$29,2,FALSE)</f>
        <v>0.17</v>
      </c>
      <c r="E11" s="14">
        <f t="shared" si="3"/>
        <v>0.05</v>
      </c>
      <c r="F11" s="15">
        <f>VLOOKUP($B11,'Tarifas e Resoluções'!$B$5:$M$44,2,FALSE)+VLOOKUP($B11,'Tarifas e Resoluções'!$B$5:$M$44,3,FALSE)</f>
        <v>2.1929499999999997</v>
      </c>
      <c r="G11" s="16">
        <f t="shared" si="0"/>
        <v>2.7811667723525684</v>
      </c>
      <c r="H11" s="17">
        <f>IF(VLOOKUP($B11,'Tarifas e Resoluções'!$B$5:$M$44,7,FALSE)="","",VLOOKUP($B11,'Tarifas e Resoluções'!$B$5:$M$44,7,FALSE)+VLOOKUP($B11,'Tarifas e Resoluções'!$B$5:$M$44,8,FALSE))</f>
        <v>2.29718</v>
      </c>
      <c r="I11" s="18">
        <f t="shared" si="1"/>
        <v>2.9133544705136338</v>
      </c>
      <c r="J11" s="19">
        <f t="shared" si="2"/>
        <v>4.7529583437834866E-2</v>
      </c>
      <c r="L11" s="21" t="str">
        <f>VLOOKUP(N11,Rascunho!$E$4:$G$43,2,FALSE)</f>
        <v>Equatorial PI</v>
      </c>
      <c r="M11" s="22" t="str">
        <f>VLOOKUP(N11,Rascunho!$E$4:$G$43,3,FALSE)</f>
        <v>PI</v>
      </c>
      <c r="N11" s="23">
        <f>LARGE(Rascunho!$E$4:$E$43,7)</f>
        <v>3.7444889643463495</v>
      </c>
    </row>
    <row r="12" spans="2:14" ht="15">
      <c r="B12" s="12" t="str">
        <f>'Tarifas e Resoluções'!B12</f>
        <v>Energisa PB (EPB)</v>
      </c>
      <c r="C12" s="2" t="s">
        <v>126</v>
      </c>
      <c r="D12" s="13">
        <f>VLOOKUP(C12,Rascunho!$B$3:$C$29,2,FALSE)</f>
        <v>0.2</v>
      </c>
      <c r="E12" s="14">
        <f t="shared" si="3"/>
        <v>0.05</v>
      </c>
      <c r="F12" s="15">
        <f>VLOOKUP($B12,'Tarifas e Resoluções'!$B$5:$M$44,2,FALSE)+VLOOKUP($B12,'Tarifas e Resoluções'!$B$5:$M$44,3,FALSE)</f>
        <v>1.68641</v>
      </c>
      <c r="G12" s="16">
        <f t="shared" si="0"/>
        <v>2.2189605263157897</v>
      </c>
      <c r="H12" s="17">
        <f>IF(VLOOKUP($B12,'Tarifas e Resoluções'!$B$5:$M$44,7,FALSE)="","",VLOOKUP($B12,'Tarifas e Resoluções'!$B$5:$M$44,7,FALSE)+VLOOKUP($B12,'Tarifas e Resoluções'!$B$5:$M$44,8,FALSE))</f>
        <v>1.7180900000000001</v>
      </c>
      <c r="I12" s="18">
        <f t="shared" si="1"/>
        <v>2.2606447368421057</v>
      </c>
      <c r="J12" s="19">
        <f t="shared" si="2"/>
        <v>1.8785467353727769E-2</v>
      </c>
      <c r="L12" s="21" t="str">
        <f>VLOOKUP(N12,Rascunho!$E$4:$G$43,2,FALSE)</f>
        <v>Enel RJ</v>
      </c>
      <c r="M12" s="22" t="str">
        <f>VLOOKUP(N12,Rascunho!$E$4:$G$43,3,FALSE)</f>
        <v>RJ</v>
      </c>
      <c r="N12" s="23">
        <f>LARGE(Rascunho!$E$4:$E$43,8)</f>
        <v>3.437219973009447</v>
      </c>
    </row>
    <row r="13" spans="2:14" ht="15">
      <c r="B13" s="12" t="str">
        <f>'Tarifas e Resoluções'!B13</f>
        <v>SULGIPE</v>
      </c>
      <c r="C13" s="2" t="s">
        <v>127</v>
      </c>
      <c r="D13" s="13">
        <f>VLOOKUP(C13,Rascunho!$B$3:$C$29,2,FALSE)</f>
        <v>0.2</v>
      </c>
      <c r="E13" s="14">
        <f t="shared" si="3"/>
        <v>0.05</v>
      </c>
      <c r="F13" s="15">
        <f>VLOOKUP($B13,'Tarifas e Resoluções'!$B$5:$M$44,2,FALSE)+VLOOKUP($B13,'Tarifas e Resoluções'!$B$5:$M$44,3,FALSE)</f>
        <v>2.0552899999999998</v>
      </c>
      <c r="G13" s="16">
        <f t="shared" si="0"/>
        <v>2.7043289473684209</v>
      </c>
      <c r="H13" s="17">
        <f>IF(VLOOKUP($B13,'Tarifas e Resoluções'!$B$5:$M$44,7,FALSE)="","",VLOOKUP($B13,'Tarifas e Resoluções'!$B$5:$M$44,7,FALSE)+VLOOKUP($B13,'Tarifas e Resoluções'!$B$5:$M$44,8,FALSE))</f>
        <v>2.0849099999999998</v>
      </c>
      <c r="I13" s="18">
        <f t="shared" si="1"/>
        <v>2.7433026315789468</v>
      </c>
      <c r="J13" s="19">
        <f t="shared" si="2"/>
        <v>1.4411591551557024E-2</v>
      </c>
      <c r="L13" s="21" t="str">
        <f>VLOOKUP(N13,Rascunho!$E$4:$G$43,2,FALSE)</f>
        <v>Energisa TO (ETO)</v>
      </c>
      <c r="M13" s="22" t="str">
        <f>VLOOKUP(N13,Rascunho!$E$4:$G$43,3,FALSE)</f>
        <v>TO</v>
      </c>
      <c r="N13" s="23">
        <f>LARGE(Rascunho!$E$4:$E$43,9)</f>
        <v>3.3906447368421047</v>
      </c>
    </row>
    <row r="14" spans="2:14" ht="15">
      <c r="B14" s="12" t="str">
        <f>'Tarifas e Resoluções'!B14</f>
        <v>Neoenergia PE</v>
      </c>
      <c r="C14" s="2" t="s">
        <v>128</v>
      </c>
      <c r="D14" s="13">
        <f>VLOOKUP(C14,Rascunho!$B$3:$C$29,2,FALSE)</f>
        <v>0.20499999999999999</v>
      </c>
      <c r="E14" s="14">
        <f t="shared" si="3"/>
        <v>0.05</v>
      </c>
      <c r="F14" s="15">
        <f>VLOOKUP($B14,'Tarifas e Resoluções'!$B$5:$M$44,2,FALSE)+VLOOKUP($B14,'Tarifas e Resoluções'!$B$5:$M$44,3,FALSE)</f>
        <v>1.6811199999999999</v>
      </c>
      <c r="G14" s="16">
        <f t="shared" si="0"/>
        <v>2.2259119496855346</v>
      </c>
      <c r="H14" s="17">
        <f>IF(VLOOKUP($B14,'Tarifas e Resoluções'!$B$5:$M$44,7,FALSE)="","",VLOOKUP($B14,'Tarifas e Resoluções'!$B$5:$M$44,7,FALSE)+VLOOKUP($B14,'Tarifas e Resoluções'!$B$5:$M$44,8,FALSE))</f>
        <v>1.56576</v>
      </c>
      <c r="I14" s="18">
        <f t="shared" si="1"/>
        <v>2.073167825223436</v>
      </c>
      <c r="J14" s="19">
        <f t="shared" si="2"/>
        <v>-6.8620919387075263E-2</v>
      </c>
      <c r="L14" s="21" t="str">
        <f>VLOOKUP(N14,Rascunho!$E$4:$G$43,2,FALSE)</f>
        <v>Energisa Minas Rio (EMR)</v>
      </c>
      <c r="M14" s="22" t="str">
        <f>VLOOKUP(N14,Rascunho!$E$4:$G$43,3,FALSE)</f>
        <v>MG</v>
      </c>
      <c r="N14" s="23">
        <f>LARGE(Rascunho!$E$4:$E$43,10)</f>
        <v>3.2073299101412065</v>
      </c>
    </row>
    <row r="15" spans="2:14" ht="15">
      <c r="B15" s="12" t="str">
        <f>'Tarifas e Resoluções'!B15</f>
        <v>Neoenergia BA (COELBA)</v>
      </c>
      <c r="C15" s="2" t="s">
        <v>129</v>
      </c>
      <c r="D15" s="13">
        <f>VLOOKUP(C15,Rascunho!$B$3:$C$29,2,FALSE)</f>
        <v>0.1295</v>
      </c>
      <c r="E15" s="14">
        <f t="shared" si="3"/>
        <v>0.05</v>
      </c>
      <c r="F15" s="15">
        <f>VLOOKUP($B15,'Tarifas e Resoluções'!$B$5:$M$44,2,FALSE)+VLOOKUP($B15,'Tarifas e Resoluções'!$B$5:$M$44,3,FALSE)</f>
        <v>3.1038000000000001</v>
      </c>
      <c r="G15" s="16">
        <f t="shared" si="0"/>
        <v>3.7531968922881589</v>
      </c>
      <c r="H15" s="17">
        <f>IF(VLOOKUP($B15,'Tarifas e Resoluções'!$B$5:$M$44,7,FALSE)="","",VLOOKUP($B15,'Tarifas e Resoluções'!$B$5:$M$44,7,FALSE)+VLOOKUP($B15,'Tarifas e Resoluções'!$B$5:$M$44,8,FALSE))</f>
        <v>3.19923</v>
      </c>
      <c r="I15" s="18">
        <f t="shared" si="1"/>
        <v>3.8685933673932102</v>
      </c>
      <c r="J15" s="19">
        <f t="shared" si="2"/>
        <v>3.0746182099361974E-2</v>
      </c>
      <c r="L15" s="21" t="str">
        <f>VLOOKUP(N15,Rascunho!$E$4:$G$43,2,FALSE)</f>
        <v>Neoenergia RN (COSERN)</v>
      </c>
      <c r="M15" s="22" t="str">
        <f>VLOOKUP(N15,Rascunho!$E$4:$G$43,3,FALSE)</f>
        <v>RN</v>
      </c>
      <c r="N15" s="23">
        <f>LARGE(Rascunho!$E$4:$E$43,11)</f>
        <v>3.2031065468549418</v>
      </c>
    </row>
    <row r="16" spans="2:14" ht="15">
      <c r="B16" s="12" t="str">
        <f>'Tarifas e Resoluções'!B16</f>
        <v>Equatorial PI</v>
      </c>
      <c r="C16" s="2" t="s">
        <v>130</v>
      </c>
      <c r="D16" s="13">
        <f>VLOOKUP(C16,Rascunho!$B$3:$C$29,2,FALSE)</f>
        <v>0.22500000000000001</v>
      </c>
      <c r="E16" s="14">
        <f t="shared" si="3"/>
        <v>0.05</v>
      </c>
      <c r="F16" s="15">
        <f>VLOOKUP($B16,'Tarifas e Resoluções'!$B$5:$M$44,2,FALSE)+VLOOKUP($B16,'Tarifas e Resoluções'!$B$5:$M$44,3,FALSE)</f>
        <v>2.7568799999999998</v>
      </c>
      <c r="G16" s="16">
        <f t="shared" si="0"/>
        <v>3.7444889643463495</v>
      </c>
      <c r="H16" s="17" t="str">
        <f>IF(VLOOKUP($B16,'Tarifas e Resoluções'!$B$5:$M$44,7,FALSE)="","",VLOOKUP($B16,'Tarifas e Resoluções'!$B$5:$M$44,7,FALSE)+VLOOKUP($B16,'Tarifas e Resoluções'!$B$5:$M$44,8,FALSE))</f>
        <v/>
      </c>
      <c r="I16" s="18" t="str">
        <f t="shared" si="1"/>
        <v/>
      </c>
      <c r="J16" s="19" t="str">
        <f t="shared" si="2"/>
        <v/>
      </c>
      <c r="L16" s="21" t="str">
        <f>VLOOKUP(N16,Rascunho!$E$4:$G$43,2,FALSE)</f>
        <v>CEMIG</v>
      </c>
      <c r="M16" s="22" t="str">
        <f>VLOOKUP(N16,Rascunho!$E$4:$G$43,3,FALSE)</f>
        <v>MG</v>
      </c>
      <c r="N16" s="23">
        <f>LARGE(Rascunho!$E$4:$E$43,12)</f>
        <v>3.0644159178433887</v>
      </c>
    </row>
    <row r="17" spans="2:14" ht="15">
      <c r="B17" s="12" t="str">
        <f>'Tarifas e Resoluções'!B17</f>
        <v>Energisa MS (EMS)</v>
      </c>
      <c r="C17" s="2" t="s">
        <v>131</v>
      </c>
      <c r="D17" s="13">
        <f>VLOOKUP(C17,Rascunho!$B$3:$C$29,2,FALSE)</f>
        <v>0.17</v>
      </c>
      <c r="E17" s="14">
        <f t="shared" si="3"/>
        <v>0.05</v>
      </c>
      <c r="F17" s="15">
        <f>VLOOKUP($B17,'Tarifas e Resoluções'!$B$5:$M$44,2,FALSE)+VLOOKUP($B17,'Tarifas e Resoluções'!$B$5:$M$44,3,FALSE)</f>
        <v>2.2561400000000003</v>
      </c>
      <c r="G17" s="16">
        <f t="shared" si="0"/>
        <v>2.8613062777425498</v>
      </c>
      <c r="H17" s="17">
        <f>IF(VLOOKUP($B17,'Tarifas e Resoluções'!$B$5:$M$44,7,FALSE)="","",VLOOKUP($B17,'Tarifas e Resoluções'!$B$5:$M$44,7,FALSE)+VLOOKUP($B17,'Tarifas e Resoluções'!$B$5:$M$44,8,FALSE))</f>
        <v>2.38151</v>
      </c>
      <c r="I17" s="18">
        <f t="shared" si="1"/>
        <v>3.0203043753963228</v>
      </c>
      <c r="J17" s="19">
        <f t="shared" si="2"/>
        <v>5.5568360119496063E-2</v>
      </c>
      <c r="L17" s="21" t="str">
        <f>VLOOKUP(N17,Rascunho!$E$4:$G$43,2,FALSE)</f>
        <v>Energisa MS (EMS)</v>
      </c>
      <c r="M17" s="22" t="str">
        <f>VLOOKUP(N17,Rascunho!$E$4:$G$43,3,FALSE)</f>
        <v>MS</v>
      </c>
      <c r="N17" s="23">
        <f>LARGE(Rascunho!$E$4:$E$43,13)</f>
        <v>3.0203043753963228</v>
      </c>
    </row>
    <row r="18" spans="2:14" ht="15">
      <c r="B18" s="12" t="str">
        <f>'Tarifas e Resoluções'!B18</f>
        <v>CEMIG</v>
      </c>
      <c r="C18" s="2" t="s">
        <v>132</v>
      </c>
      <c r="D18" s="13">
        <f>VLOOKUP(C18,Rascunho!$B$3:$C$29,2,FALSE)</f>
        <v>0.18</v>
      </c>
      <c r="E18" s="14">
        <f t="shared" si="3"/>
        <v>0.05</v>
      </c>
      <c r="F18" s="15">
        <f>VLOOKUP($B18,'Tarifas e Resoluções'!$B$5:$M$44,2,FALSE)+VLOOKUP($B18,'Tarifas e Resoluções'!$B$5:$M$44,3,FALSE)</f>
        <v>2.2849599999999999</v>
      </c>
      <c r="G18" s="16">
        <f t="shared" si="0"/>
        <v>2.9331964056482671</v>
      </c>
      <c r="H18" s="17">
        <f>IF(VLOOKUP($B18,'Tarifas e Resoluções'!$B$5:$M$44,7,FALSE)="","",VLOOKUP($B18,'Tarifas e Resoluções'!$B$5:$M$44,7,FALSE)+VLOOKUP($B18,'Tarifas e Resoluções'!$B$5:$M$44,8,FALSE))</f>
        <v>2.3871799999999999</v>
      </c>
      <c r="I18" s="18">
        <f t="shared" si="1"/>
        <v>3.0644159178433887</v>
      </c>
      <c r="J18" s="19">
        <f t="shared" si="2"/>
        <v>4.4736012884251775E-2</v>
      </c>
      <c r="L18" s="21" t="str">
        <f>VLOOKUP(N18,Rascunho!$E$4:$G$43,2,FALSE)</f>
        <v>RGE Sul</v>
      </c>
      <c r="M18" s="22" t="str">
        <f>VLOOKUP(N18,Rascunho!$E$4:$G$43,3,FALSE)</f>
        <v>RS</v>
      </c>
      <c r="N18" s="23">
        <f>LARGE(Rascunho!$E$4:$E$43,14)</f>
        <v>3.0202536461636025</v>
      </c>
    </row>
    <row r="19" spans="2:14" ht="15">
      <c r="B19" s="12" t="str">
        <f>'Tarifas e Resoluções'!B19</f>
        <v>Equatorial AL</v>
      </c>
      <c r="C19" s="2" t="s">
        <v>133</v>
      </c>
      <c r="D19" s="13">
        <f>VLOOKUP(C19,Rascunho!$B$3:$C$29,2,FALSE)</f>
        <v>0.2</v>
      </c>
      <c r="E19" s="14">
        <f t="shared" si="3"/>
        <v>0.05</v>
      </c>
      <c r="F19" s="15">
        <f>VLOOKUP($B19,'Tarifas e Resoluções'!$B$5:$M$44,2,FALSE)+VLOOKUP($B19,'Tarifas e Resoluções'!$B$5:$M$44,3,FALSE)</f>
        <v>2.2295000000000003</v>
      </c>
      <c r="G19" s="16">
        <f t="shared" si="0"/>
        <v>2.9335526315789475</v>
      </c>
      <c r="H19" s="17">
        <f>IF(VLOOKUP($B19,'Tarifas e Resoluções'!$B$5:$M$44,7,FALSE)="","",VLOOKUP($B19,'Tarifas e Resoluções'!$B$5:$M$44,7,FALSE)+VLOOKUP($B19,'Tarifas e Resoluções'!$B$5:$M$44,8,FALSE))</f>
        <v>2.2583299999999999</v>
      </c>
      <c r="I19" s="18">
        <f t="shared" si="1"/>
        <v>2.9714868421052629</v>
      </c>
      <c r="J19" s="19">
        <f t="shared" si="2"/>
        <v>1.293115048217075E-2</v>
      </c>
      <c r="L19" s="21" t="str">
        <f>VLOOKUP(N19,Rascunho!$E$4:$G$43,2,FALSE)</f>
        <v>Equatorial AL</v>
      </c>
      <c r="M19" s="22" t="str">
        <f>VLOOKUP(N19,Rascunho!$E$4:$G$43,3,FALSE)</f>
        <v>AL</v>
      </c>
      <c r="N19" s="23">
        <f>LARGE(Rascunho!$E$4:$E$43,15)</f>
        <v>2.9714868421052629</v>
      </c>
    </row>
    <row r="20" spans="2:14" ht="15">
      <c r="B20" s="12" t="str">
        <f>'Tarifas e Resoluções'!B20</f>
        <v>COCEL</v>
      </c>
      <c r="C20" s="2" t="s">
        <v>134</v>
      </c>
      <c r="D20" s="13">
        <f>VLOOKUP(C20,Rascunho!$B$3:$C$29,2,FALSE)</f>
        <v>0.19500000000000001</v>
      </c>
      <c r="E20" s="14">
        <f t="shared" si="3"/>
        <v>0.05</v>
      </c>
      <c r="F20" s="15">
        <f>VLOOKUP($B20,'Tarifas e Resoluções'!$B$5:$M$44,2,FALSE)+VLOOKUP($B20,'Tarifas e Resoluções'!$B$5:$M$44,3,FALSE)</f>
        <v>1.5072300000000001</v>
      </c>
      <c r="G20" s="16">
        <f t="shared" si="0"/>
        <v>1.9708793723439035</v>
      </c>
      <c r="H20" s="17">
        <f>IF(VLOOKUP($B20,'Tarifas e Resoluções'!$B$5:$M$44,7,FALSE)="","",VLOOKUP($B20,'Tarifas e Resoluções'!$B$5:$M$44,7,FALSE)+VLOOKUP($B20,'Tarifas e Resoluções'!$B$5:$M$44,8,FALSE))</f>
        <v>1.8448</v>
      </c>
      <c r="I20" s="18">
        <f t="shared" si="1"/>
        <v>2.4122915985616218</v>
      </c>
      <c r="J20" s="19">
        <f t="shared" si="2"/>
        <v>0.22396714502763349</v>
      </c>
      <c r="L20" s="21" t="str">
        <f>VLOOKUP(N20,Rascunho!$E$4:$G$43,2,FALSE)</f>
        <v>Energisa MT (EMT)</v>
      </c>
      <c r="M20" s="22" t="str">
        <f>VLOOKUP(N20,Rascunho!$E$4:$G$43,3,FALSE)</f>
        <v>MT</v>
      </c>
      <c r="N20" s="23">
        <f>LARGE(Rascunho!$E$4:$E$43,16)</f>
        <v>2.9133544705136338</v>
      </c>
    </row>
    <row r="21" spans="2:14" ht="15">
      <c r="B21" s="12" t="str">
        <f>'Tarifas e Resoluções'!B21</f>
        <v>RGE Sul</v>
      </c>
      <c r="C21" s="2" t="s">
        <v>135</v>
      </c>
      <c r="D21" s="13">
        <f>VLOOKUP(C21,Rascunho!$B$3:$C$29,2,FALSE)</f>
        <v>0.17</v>
      </c>
      <c r="E21" s="14">
        <f t="shared" si="3"/>
        <v>0.05</v>
      </c>
      <c r="F21" s="15">
        <f>VLOOKUP($B21,'Tarifas e Resoluções'!$B$5:$M$44,2,FALSE)+VLOOKUP($B21,'Tarifas e Resoluções'!$B$5:$M$44,3,FALSE)</f>
        <v>2.1512600000000002</v>
      </c>
      <c r="G21" s="16">
        <f t="shared" si="0"/>
        <v>2.7282942295497783</v>
      </c>
      <c r="H21" s="17">
        <f>IF(VLOOKUP($B21,'Tarifas e Resoluções'!$B$5:$M$44,7,FALSE)="","",VLOOKUP($B21,'Tarifas e Resoluções'!$B$5:$M$44,7,FALSE)+VLOOKUP($B21,'Tarifas e Resoluções'!$B$5:$M$44,8,FALSE))</f>
        <v>2.3814700000000002</v>
      </c>
      <c r="I21" s="18">
        <f t="shared" si="1"/>
        <v>3.0202536461636025</v>
      </c>
      <c r="J21" s="19">
        <f t="shared" si="2"/>
        <v>0.10701170476836852</v>
      </c>
      <c r="L21" s="21" t="str">
        <f>VLOOKUP(N21,Rascunho!$E$4:$G$43,2,FALSE)</f>
        <v>Energisa SE (ESE)</v>
      </c>
      <c r="M21" s="22" t="str">
        <f>VLOOKUP(N21,Rascunho!$E$4:$G$43,3,FALSE)</f>
        <v>SE</v>
      </c>
      <c r="N21" s="23">
        <f>LARGE(Rascunho!$E$4:$E$43,17)</f>
        <v>2.8709078947368418</v>
      </c>
    </row>
    <row r="22" spans="2:14" ht="15">
      <c r="B22" s="12" t="str">
        <f>'Tarifas e Resoluções'!B22</f>
        <v>Equatorial GO</v>
      </c>
      <c r="C22" s="2" t="s">
        <v>136</v>
      </c>
      <c r="D22" s="13">
        <f>VLOOKUP(C22,Rascunho!$B$3:$C$29,2,FALSE)</f>
        <v>0.19</v>
      </c>
      <c r="E22" s="14">
        <f t="shared" si="3"/>
        <v>0.05</v>
      </c>
      <c r="F22" s="15">
        <f>VLOOKUP($B22,'Tarifas e Resoluções'!$B$5:$M$44,2,FALSE)+VLOOKUP($B22,'Tarifas e Resoluções'!$B$5:$M$44,3,FALSE)</f>
        <v>2.1410499999999999</v>
      </c>
      <c r="G22" s="16">
        <f t="shared" si="0"/>
        <v>2.7823911630929175</v>
      </c>
      <c r="H22" s="17" t="str">
        <f>IF(VLOOKUP($B22,'Tarifas e Resoluções'!$B$5:$M$44,7,FALSE)="","",VLOOKUP($B22,'Tarifas e Resoluções'!$B$5:$M$44,7,FALSE)+VLOOKUP($B22,'Tarifas e Resoluções'!$B$5:$M$44,8,FALSE))</f>
        <v/>
      </c>
      <c r="I22" s="18" t="str">
        <f t="shared" si="1"/>
        <v/>
      </c>
      <c r="J22" s="19" t="str">
        <f t="shared" si="2"/>
        <v/>
      </c>
      <c r="L22" s="21" t="str">
        <f>VLOOKUP(N22,Rascunho!$E$4:$G$43,2,FALSE)</f>
        <v>Neoenergia Elektro (ELEKTRO)</v>
      </c>
      <c r="M22" s="22" t="str">
        <f>VLOOKUP(N22,Rascunho!$E$4:$G$43,3,FALSE)</f>
        <v>SP</v>
      </c>
      <c r="N22" s="23">
        <f>LARGE(Rascunho!$E$4:$E$43,18)</f>
        <v>2.8291912708600768</v>
      </c>
    </row>
    <row r="23" spans="2:14" ht="15">
      <c r="B23" s="12" t="str">
        <f>'Tarifas e Resoluções'!B23</f>
        <v>Neoenergia RN (COSERN)</v>
      </c>
      <c r="C23" s="2" t="s">
        <v>137</v>
      </c>
      <c r="D23" s="13">
        <f>VLOOKUP(C23,Rascunho!$B$3:$C$29,2,FALSE)</f>
        <v>0.18</v>
      </c>
      <c r="E23" s="14">
        <f t="shared" si="3"/>
        <v>0.05</v>
      </c>
      <c r="F23" s="15">
        <f>VLOOKUP($B23,'Tarifas e Resoluções'!$B$5:$M$44,2,FALSE)+VLOOKUP($B23,'Tarifas e Resoluções'!$B$5:$M$44,3,FALSE)</f>
        <v>2.3535900000000001</v>
      </c>
      <c r="G23" s="16">
        <f t="shared" si="0"/>
        <v>3.0212965340179716</v>
      </c>
      <c r="H23" s="17">
        <f>IF(VLOOKUP($B23,'Tarifas e Resoluções'!$B$5:$M$44,7,FALSE)="","",VLOOKUP($B23,'Tarifas e Resoluções'!$B$5:$M$44,7,FALSE)+VLOOKUP($B23,'Tarifas e Resoluções'!$B$5:$M$44,8,FALSE))</f>
        <v>2.4952199999999998</v>
      </c>
      <c r="I23" s="18">
        <f t="shared" si="1"/>
        <v>3.2031065468549418</v>
      </c>
      <c r="J23" s="19">
        <f t="shared" si="2"/>
        <v>6.0176156424865734E-2</v>
      </c>
      <c r="L23" s="21" t="str">
        <f>VLOOKUP(N23,Rascunho!$E$4:$G$43,2,FALSE)</f>
        <v>CPFL Santa Cruz</v>
      </c>
      <c r="M23" s="22" t="str">
        <f>VLOOKUP(N23,Rascunho!$E$4:$G$43,3,FALSE)</f>
        <v>SP</v>
      </c>
      <c r="N23" s="23">
        <f>LARGE(Rascunho!$E$4:$E$43,19)</f>
        <v>2.8220154043645702</v>
      </c>
    </row>
    <row r="24" spans="2:14" ht="15">
      <c r="B24" s="12" t="str">
        <f>'Tarifas e Resoluções'!B24</f>
        <v>CELESC</v>
      </c>
      <c r="C24" s="2" t="s">
        <v>138</v>
      </c>
      <c r="D24" s="13">
        <f>VLOOKUP(C24,Rascunho!$B$3:$C$29,2,FALSE)</f>
        <v>0.17</v>
      </c>
      <c r="E24" s="14">
        <f t="shared" si="3"/>
        <v>0.05</v>
      </c>
      <c r="F24" s="15">
        <f>VLOOKUP($B24,'Tarifas e Resoluções'!$B$5:$M$44,2,FALSE)+VLOOKUP($B24,'Tarifas e Resoluções'!$B$5:$M$44,3,FALSE)</f>
        <v>1.55304</v>
      </c>
      <c r="G24" s="16">
        <f t="shared" si="0"/>
        <v>1.9696131896005074</v>
      </c>
      <c r="H24" s="17">
        <f>IF(VLOOKUP($B24,'Tarifas e Resoluções'!$B$5:$M$44,7,FALSE)="","",VLOOKUP($B24,'Tarifas e Resoluções'!$B$5:$M$44,7,FALSE)+VLOOKUP($B24,'Tarifas e Resoluções'!$B$5:$M$44,8,FALSE))</f>
        <v>1.71635</v>
      </c>
      <c r="I24" s="18">
        <f t="shared" si="1"/>
        <v>2.1767279644895372</v>
      </c>
      <c r="J24" s="19">
        <f t="shared" si="2"/>
        <v>0.1051550507391954</v>
      </c>
      <c r="L24" s="21" t="str">
        <f>VLOOKUP(N24,Rascunho!$E$4:$G$43,2,FALSE)</f>
        <v>Roraima Energia (Boa Vista)</v>
      </c>
      <c r="M24" s="22" t="str">
        <f>VLOOKUP(N24,Rascunho!$E$4:$G$43,3,FALSE)</f>
        <v>RR</v>
      </c>
      <c r="N24" s="23">
        <f>LARGE(Rascunho!$E$4:$E$43,20)</f>
        <v>2.8059078947368419</v>
      </c>
    </row>
    <row r="25" spans="2:14" ht="15">
      <c r="B25" s="12" t="str">
        <f>'Tarifas e Resoluções'!B25</f>
        <v>Roraima Energia (Boa Vista)</v>
      </c>
      <c r="C25" s="2" t="s">
        <v>139</v>
      </c>
      <c r="D25" s="13">
        <f>VLOOKUP(C25,Rascunho!$B$3:$C$29,2,FALSE)</f>
        <v>0.2</v>
      </c>
      <c r="E25" s="14">
        <f t="shared" si="3"/>
        <v>0.05</v>
      </c>
      <c r="F25" s="15">
        <f>VLOOKUP($B25,'Tarifas e Resoluções'!$B$5:$M$44,2,FALSE)+VLOOKUP($B25,'Tarifas e Resoluções'!$B$5:$M$44,3,FALSE)</f>
        <v>1.7678699999999998</v>
      </c>
      <c r="G25" s="16">
        <f t="shared" si="0"/>
        <v>2.3261447368421049</v>
      </c>
      <c r="H25" s="17">
        <f>IF(VLOOKUP($B25,'Tarifas e Resoluções'!$B$5:$M$44,7,FALSE)="","",VLOOKUP($B25,'Tarifas e Resoluções'!$B$5:$M$44,7,FALSE)+VLOOKUP($B25,'Tarifas e Resoluções'!$B$5:$M$44,8,FALSE))</f>
        <v>2.1324899999999998</v>
      </c>
      <c r="I25" s="18">
        <f t="shared" si="1"/>
        <v>2.8059078947368419</v>
      </c>
      <c r="J25" s="19">
        <f t="shared" si="2"/>
        <v>0.20624819698280983</v>
      </c>
      <c r="L25" s="21" t="str">
        <f>VLOOKUP(N25,Rascunho!$E$4:$G$43,2,FALSE)</f>
        <v>Equatorial GO</v>
      </c>
      <c r="M25" s="22" t="str">
        <f>VLOOKUP(N25,Rascunho!$E$4:$G$43,3,FALSE)</f>
        <v>GO</v>
      </c>
      <c r="N25" s="23">
        <f>LARGE(Rascunho!$E$4:$E$43,21)</f>
        <v>2.7823911630929175</v>
      </c>
    </row>
    <row r="26" spans="2:14" ht="15">
      <c r="B26" s="12" t="str">
        <f>'Tarifas e Resoluções'!B26</f>
        <v>Neoenergia Elektro (ELEKTRO)</v>
      </c>
      <c r="C26" s="2" t="s">
        <v>140</v>
      </c>
      <c r="D26" s="13">
        <f>VLOOKUP(C26,Rascunho!$B$3:$C$29,2,FALSE)</f>
        <v>0.18</v>
      </c>
      <c r="E26" s="14">
        <f t="shared" si="3"/>
        <v>0.05</v>
      </c>
      <c r="F26" s="15">
        <f>VLOOKUP($B26,'Tarifas e Resoluções'!$B$5:$M$44,2,FALSE)+VLOOKUP($B26,'Tarifas e Resoluções'!$B$5:$M$44,3,FALSE)</f>
        <v>2.40313</v>
      </c>
      <c r="G26" s="16">
        <f t="shared" si="0"/>
        <v>3.0848908857509625</v>
      </c>
      <c r="H26" s="17">
        <f>IF(VLOOKUP($B26,'Tarifas e Resoluções'!$B$5:$M$44,7,FALSE)="","",VLOOKUP($B26,'Tarifas e Resoluções'!$B$5:$M$44,7,FALSE)+VLOOKUP($B26,'Tarifas e Resoluções'!$B$5:$M$44,8,FALSE))</f>
        <v>2.2039399999999998</v>
      </c>
      <c r="I26" s="18">
        <f t="shared" si="1"/>
        <v>2.8291912708600768</v>
      </c>
      <c r="J26" s="19">
        <f t="shared" si="2"/>
        <v>-8.2887733913687534E-2</v>
      </c>
      <c r="L26" s="21" t="str">
        <f>VLOOKUP(N26,Rascunho!$E$4:$G$43,2,FALSE)</f>
        <v>CEEE Equatorial</v>
      </c>
      <c r="M26" s="22" t="str">
        <f>VLOOKUP(N26,Rascunho!$E$4:$G$43,3,FALSE)</f>
        <v>RS</v>
      </c>
      <c r="N26" s="23">
        <f>LARGE(Rascunho!$E$4:$E$43,22)</f>
        <v>2.7568294229549779</v>
      </c>
    </row>
    <row r="27" spans="2:14" ht="15">
      <c r="B27" s="12" t="str">
        <f>'Tarifas e Resoluções'!B27</f>
        <v>COPEL</v>
      </c>
      <c r="C27" s="2" t="s">
        <v>134</v>
      </c>
      <c r="D27" s="13">
        <f>VLOOKUP(C27,Rascunho!$B$3:$C$29,2,FALSE)</f>
        <v>0.19500000000000001</v>
      </c>
      <c r="E27" s="14">
        <f t="shared" si="3"/>
        <v>0.05</v>
      </c>
      <c r="F27" s="15">
        <f>VLOOKUP($B27,'Tarifas e Resoluções'!$B$5:$M$44,2,FALSE)+VLOOKUP($B27,'Tarifas e Resoluções'!$B$5:$M$44,3,FALSE)</f>
        <v>1.6252499999999999</v>
      </c>
      <c r="G27" s="16">
        <f t="shared" si="0"/>
        <v>2.1252043151356652</v>
      </c>
      <c r="H27" s="17">
        <f>IF(VLOOKUP($B27,'Tarifas e Resoluções'!$B$5:$M$44,7,FALSE)="","",VLOOKUP($B27,'Tarifas e Resoluções'!$B$5:$M$44,7,FALSE)+VLOOKUP($B27,'Tarifas e Resoluções'!$B$5:$M$44,8,FALSE))</f>
        <v>1.9389399999999999</v>
      </c>
      <c r="I27" s="18">
        <f t="shared" si="1"/>
        <v>2.5353906505393922</v>
      </c>
      <c r="J27" s="19">
        <f t="shared" si="2"/>
        <v>0.19301030610675296</v>
      </c>
      <c r="L27" s="21" t="str">
        <f>VLOOKUP(N27,Rascunho!$E$4:$G$43,2,FALSE)</f>
        <v>SULGIPE</v>
      </c>
      <c r="M27" s="22" t="str">
        <f>VLOOKUP(N27,Rascunho!$E$4:$G$43,3,FALSE)</f>
        <v>SE</v>
      </c>
      <c r="N27" s="23">
        <f>LARGE(Rascunho!$E$4:$E$43,23)</f>
        <v>2.7433026315789468</v>
      </c>
    </row>
    <row r="28" spans="2:14" ht="15">
      <c r="B28" s="12" t="str">
        <f>'Tarifas e Resoluções'!B28</f>
        <v>Enel CE</v>
      </c>
      <c r="C28" s="2" t="s">
        <v>141</v>
      </c>
      <c r="D28" s="13">
        <f>VLOOKUP(C28,Rascunho!$B$3:$C$29,2,FALSE)</f>
        <v>0.2</v>
      </c>
      <c r="E28" s="14">
        <f t="shared" si="3"/>
        <v>0.05</v>
      </c>
      <c r="F28" s="15">
        <f>VLOOKUP($B28,'Tarifas e Resoluções'!$B$5:$M$44,2,FALSE)+VLOOKUP($B28,'Tarifas e Resoluções'!$B$5:$M$44,3,FALSE)</f>
        <v>1.5353700000000001</v>
      </c>
      <c r="G28" s="16">
        <f t="shared" si="0"/>
        <v>2.0202236842105261</v>
      </c>
      <c r="H28" s="17">
        <f>IF(VLOOKUP($B28,'Tarifas e Resoluções'!$B$5:$M$44,7,FALSE)="","",VLOOKUP($B28,'Tarifas e Resoluções'!$B$5:$M$44,7,FALSE)+VLOOKUP($B28,'Tarifas e Resoluções'!$B$5:$M$44,8,FALSE))</f>
        <v>1.5439700000000001</v>
      </c>
      <c r="I28" s="18">
        <f t="shared" si="1"/>
        <v>2.0315394736842105</v>
      </c>
      <c r="J28" s="19">
        <f t="shared" si="2"/>
        <v>5.6012557233762195E-3</v>
      </c>
      <c r="L28" s="21" t="str">
        <f>VLOOKUP(N28,Rascunho!$E$4:$G$43,2,FALSE)</f>
        <v>CHESP</v>
      </c>
      <c r="M28" s="22" t="str">
        <f>VLOOKUP(N28,Rascunho!$E$4:$G$43,3,FALSE)</f>
        <v>GO</v>
      </c>
      <c r="N28" s="23">
        <f>LARGE(Rascunho!$E$4:$E$43,24)</f>
        <v>2.7124886289798571</v>
      </c>
    </row>
    <row r="29" spans="2:14" ht="15">
      <c r="B29" s="12" t="str">
        <f>'Tarifas e Resoluções'!B29</f>
        <v>Energisa SE (ESE)</v>
      </c>
      <c r="C29" s="2" t="s">
        <v>127</v>
      </c>
      <c r="D29" s="13">
        <f>VLOOKUP(C29,Rascunho!$B$3:$C$29,2,FALSE)</f>
        <v>0.2</v>
      </c>
      <c r="E29" s="14">
        <f t="shared" si="3"/>
        <v>0.05</v>
      </c>
      <c r="F29" s="15">
        <f>VLOOKUP($B29,'Tarifas e Resoluções'!$B$5:$M$44,2,FALSE)+VLOOKUP($B29,'Tarifas e Resoluções'!$B$5:$M$44,3,FALSE)</f>
        <v>2.1294399999999998</v>
      </c>
      <c r="G29" s="16">
        <f t="shared" si="0"/>
        <v>2.8018947368421045</v>
      </c>
      <c r="H29" s="17">
        <f>IF(VLOOKUP($B29,'Tarifas e Resoluções'!$B$5:$M$44,7,FALSE)="","",VLOOKUP($B29,'Tarifas e Resoluções'!$B$5:$M$44,7,FALSE)+VLOOKUP($B29,'Tarifas e Resoluções'!$B$5:$M$44,8,FALSE))</f>
        <v>2.1818900000000001</v>
      </c>
      <c r="I29" s="18">
        <f t="shared" si="1"/>
        <v>2.8709078947368418</v>
      </c>
      <c r="J29" s="19">
        <f t="shared" si="2"/>
        <v>2.4630888872192003E-2</v>
      </c>
      <c r="L29" s="21" t="str">
        <f>VLOOKUP(N29,Rascunho!$E$4:$G$43,2,FALSE)</f>
        <v>COPEL</v>
      </c>
      <c r="M29" s="22" t="str">
        <f>VLOOKUP(N29,Rascunho!$E$4:$G$43,3,FALSE)</f>
        <v>PR</v>
      </c>
      <c r="N29" s="23">
        <f>LARGE(Rascunho!$E$4:$E$43,25)</f>
        <v>2.5353906505393922</v>
      </c>
    </row>
    <row r="30" spans="2:14" ht="15">
      <c r="B30" s="12" t="str">
        <f>'Tarifas e Resoluções'!B30</f>
        <v>CEEE Equatorial</v>
      </c>
      <c r="C30" s="2" t="s">
        <v>135</v>
      </c>
      <c r="D30" s="13">
        <f>VLOOKUP(C30,Rascunho!$B$3:$C$29,2,FALSE)</f>
        <v>0.17</v>
      </c>
      <c r="E30" s="14">
        <f t="shared" si="3"/>
        <v>0.05</v>
      </c>
      <c r="F30" s="15">
        <f>VLOOKUP($B30,'Tarifas e Resoluções'!$B$5:$M$44,2,FALSE)+VLOOKUP($B30,'Tarifas e Resoluções'!$B$5:$M$44,3,FALSE)</f>
        <v>2.1737600000000001</v>
      </c>
      <c r="G30" s="16">
        <f t="shared" si="0"/>
        <v>2.7568294229549779</v>
      </c>
      <c r="H30" s="17" t="str">
        <f>IF(VLOOKUP($B30,'Tarifas e Resoluções'!$B$5:$M$44,7,FALSE)="","",VLOOKUP($B30,'Tarifas e Resoluções'!$B$5:$M$44,7,FALSE)+VLOOKUP($B30,'Tarifas e Resoluções'!$B$5:$M$44,8,FALSE))</f>
        <v/>
      </c>
      <c r="I30" s="18" t="str">
        <f t="shared" si="1"/>
        <v/>
      </c>
      <c r="J30" s="19" t="str">
        <f t="shared" si="2"/>
        <v/>
      </c>
      <c r="L30" s="21" t="str">
        <f>VLOOKUP(N30,Rascunho!$E$4:$G$43,2,FALSE)</f>
        <v>EDP ES</v>
      </c>
      <c r="M30" s="22" t="str">
        <f>VLOOKUP(N30,Rascunho!$E$4:$G$43,3,FALSE)</f>
        <v>ES</v>
      </c>
      <c r="N30" s="23">
        <f>LARGE(Rascunho!$E$4:$E$43,26)</f>
        <v>2.4406087507926446</v>
      </c>
    </row>
    <row r="31" spans="2:14" ht="15">
      <c r="B31" s="12" t="str">
        <f>'Tarifas e Resoluções'!B31</f>
        <v>CPFL Paulista</v>
      </c>
      <c r="C31" s="2" t="s">
        <v>140</v>
      </c>
      <c r="D31" s="13">
        <f>VLOOKUP(C31,Rascunho!$B$3:$C$29,2,FALSE)</f>
        <v>0.18</v>
      </c>
      <c r="E31" s="14">
        <f t="shared" si="3"/>
        <v>0.05</v>
      </c>
      <c r="F31" s="15">
        <f>VLOOKUP($B31,'Tarifas e Resoluções'!$B$5:$M$44,2,FALSE)+VLOOKUP($B31,'Tarifas e Resoluções'!$B$5:$M$44,3,FALSE)</f>
        <v>1.7391299999999998</v>
      </c>
      <c r="G31" s="16">
        <f t="shared" si="0"/>
        <v>2.2325160462130933</v>
      </c>
      <c r="H31" s="17">
        <f>IF(VLOOKUP($B31,'Tarifas e Resoluções'!$B$5:$M$44,7,FALSE)="","",VLOOKUP($B31,'Tarifas e Resoluções'!$B$5:$M$44,7,FALSE)+VLOOKUP($B31,'Tarifas e Resoluções'!$B$5:$M$44,8,FALSE))</f>
        <v>1.78345</v>
      </c>
      <c r="I31" s="18">
        <f t="shared" si="1"/>
        <v>2.2894094993581513</v>
      </c>
      <c r="J31" s="19">
        <f t="shared" si="2"/>
        <v>2.5484006371001788E-2</v>
      </c>
      <c r="L31" s="21" t="str">
        <f>VLOOKUP(N31,Rascunho!$E$4:$G$43,2,FALSE)</f>
        <v>COCEL</v>
      </c>
      <c r="M31" s="22" t="str">
        <f>VLOOKUP(N31,Rascunho!$E$4:$G$43,3,FALSE)</f>
        <v>PR</v>
      </c>
      <c r="N31" s="23">
        <f>LARGE(Rascunho!$E$4:$E$43,27)</f>
        <v>2.4122915985616218</v>
      </c>
    </row>
    <row r="32" spans="2:14" ht="15">
      <c r="B32" s="12" t="str">
        <f>'Tarifas e Resoluções'!B32</f>
        <v>CPFL Piratininga</v>
      </c>
      <c r="C32" s="2" t="s">
        <v>140</v>
      </c>
      <c r="D32" s="13">
        <f>VLOOKUP(C32,Rascunho!$B$3:$C$29,2,FALSE)</f>
        <v>0.18</v>
      </c>
      <c r="E32" s="14">
        <f t="shared" si="3"/>
        <v>0.05</v>
      </c>
      <c r="F32" s="15">
        <f>VLOOKUP($B32,'Tarifas e Resoluções'!$B$5:$M$44,2,FALSE)+VLOOKUP($B32,'Tarifas e Resoluções'!$B$5:$M$44,3,FALSE)</f>
        <v>1.4573499999999999</v>
      </c>
      <c r="G32" s="16">
        <f t="shared" si="0"/>
        <v>1.8707958921694479</v>
      </c>
      <c r="H32" s="17" t="str">
        <f>IF(VLOOKUP($B32,'Tarifas e Resoluções'!$B$5:$M$44,7,FALSE)="","",VLOOKUP($B32,'Tarifas e Resoluções'!$B$5:$M$44,7,FALSE)+VLOOKUP($B32,'Tarifas e Resoluções'!$B$5:$M$44,8,FALSE))</f>
        <v/>
      </c>
      <c r="I32" s="18" t="str">
        <f t="shared" si="1"/>
        <v/>
      </c>
      <c r="J32" s="19" t="str">
        <f t="shared" si="2"/>
        <v/>
      </c>
      <c r="L32" s="21" t="str">
        <f>VLOOKUP(N32,Rascunho!$E$4:$G$43,2,FALSE)</f>
        <v>Energisa Sul-Sudeste (ESS)</v>
      </c>
      <c r="M32" s="22" t="str">
        <f>VLOOKUP(N32,Rascunho!$E$4:$G$43,3,FALSE)</f>
        <v>SP</v>
      </c>
      <c r="N32" s="23">
        <f>LARGE(Rascunho!$E$4:$E$43,28)</f>
        <v>2.4054942233632861</v>
      </c>
    </row>
    <row r="33" spans="2:14" ht="15">
      <c r="B33" s="12" t="str">
        <f>'Tarifas e Resoluções'!B33</f>
        <v>EDP SP</v>
      </c>
      <c r="C33" s="2" t="s">
        <v>140</v>
      </c>
      <c r="D33" s="13">
        <f>VLOOKUP(C33,Rascunho!$B$3:$C$29,2,FALSE)</f>
        <v>0.18</v>
      </c>
      <c r="E33" s="14">
        <f t="shared" si="3"/>
        <v>0.05</v>
      </c>
      <c r="F33" s="15">
        <f>VLOOKUP($B33,'Tarifas e Resoluções'!$B$5:$M$44,2,FALSE)+VLOOKUP($B33,'Tarifas e Resoluções'!$B$5:$M$44,3,FALSE)</f>
        <v>1.8146600000000002</v>
      </c>
      <c r="G33" s="16">
        <f t="shared" si="0"/>
        <v>2.3294736842105261</v>
      </c>
      <c r="H33" s="17" t="str">
        <f>IF(VLOOKUP($B33,'Tarifas e Resoluções'!$B$5:$M$44,7,FALSE)="","",VLOOKUP($B33,'Tarifas e Resoluções'!$B$5:$M$44,7,FALSE)+VLOOKUP($B33,'Tarifas e Resoluções'!$B$5:$M$44,8,FALSE))</f>
        <v/>
      </c>
      <c r="I33" s="18" t="str">
        <f t="shared" si="1"/>
        <v/>
      </c>
      <c r="J33" s="19" t="str">
        <f t="shared" si="2"/>
        <v/>
      </c>
      <c r="L33" s="21" t="str">
        <f>VLOOKUP(N33,Rascunho!$E$4:$G$43,2,FALSE)</f>
        <v>Amazonas Energia</v>
      </c>
      <c r="M33" s="22" t="str">
        <f>VLOOKUP(N33,Rascunho!$E$4:$G$43,3,FALSE)</f>
        <v>AM</v>
      </c>
      <c r="N33" s="23">
        <f>LARGE(Rascunho!$E$4:$E$43,29)</f>
        <v>2.3751447368421053</v>
      </c>
    </row>
    <row r="34" spans="2:14" ht="15">
      <c r="B34" s="12" t="str">
        <f>'Tarifas e Resoluções'!B34</f>
        <v>Neoenergia Brasília (CEB)</v>
      </c>
      <c r="C34" s="2" t="s">
        <v>142</v>
      </c>
      <c r="D34" s="13">
        <f>VLOOKUP(C34,Rascunho!$B$3:$C$29,2,FALSE)</f>
        <v>0.2</v>
      </c>
      <c r="E34" s="14">
        <f t="shared" si="3"/>
        <v>0.05</v>
      </c>
      <c r="F34" s="15">
        <f>VLOOKUP($B34,'Tarifas e Resoluções'!$B$5:$M$44,2,FALSE)+VLOOKUP($B34,'Tarifas e Resoluções'!$B$5:$M$44,3,FALSE)</f>
        <v>1.5297700000000001</v>
      </c>
      <c r="G34" s="16">
        <f t="shared" si="0"/>
        <v>2.0128552631578946</v>
      </c>
      <c r="H34" s="17" t="str">
        <f>IF(VLOOKUP($B34,'Tarifas e Resoluções'!$B$5:$M$44,7,FALSE)="","",VLOOKUP($B34,'Tarifas e Resoluções'!$B$5:$M$44,7,FALSE)+VLOOKUP($B34,'Tarifas e Resoluções'!$B$5:$M$44,8,FALSE))</f>
        <v/>
      </c>
      <c r="I34" s="18" t="str">
        <f t="shared" si="1"/>
        <v/>
      </c>
      <c r="J34" s="19" t="str">
        <f t="shared" si="2"/>
        <v/>
      </c>
      <c r="L34" s="21" t="str">
        <f>VLOOKUP(N34,Rascunho!$E$4:$G$43,2,FALSE)</f>
        <v>EDP SP</v>
      </c>
      <c r="M34" s="22" t="str">
        <f>VLOOKUP(N34,Rascunho!$E$4:$G$43,3,FALSE)</f>
        <v>SP</v>
      </c>
      <c r="N34" s="23">
        <f>LARGE(Rascunho!$E$4:$E$43,30)</f>
        <v>2.3294736842105261</v>
      </c>
    </row>
    <row r="35" spans="2:14" ht="15">
      <c r="B35" s="12" t="str">
        <f>'Tarifas e Resoluções'!B35</f>
        <v>Enel RJ</v>
      </c>
      <c r="C35" s="2" t="s">
        <v>124</v>
      </c>
      <c r="D35" s="13">
        <f>VLOOKUP(C35,Rascunho!$B$3:$C$29,2,FALSE)</f>
        <v>0.22</v>
      </c>
      <c r="E35" s="14">
        <f t="shared" si="3"/>
        <v>0.05</v>
      </c>
      <c r="F35" s="15">
        <f>VLOOKUP($B35,'Tarifas e Resoluções'!$B$5:$M$44,2,FALSE)+VLOOKUP($B35,'Tarifas e Resoluções'!$B$5:$M$44,3,FALSE)</f>
        <v>2.3799699999999997</v>
      </c>
      <c r="G35" s="16">
        <f t="shared" si="0"/>
        <v>3.2118353576248309</v>
      </c>
      <c r="H35" s="17">
        <f>IF(VLOOKUP($B35,'Tarifas e Resoluções'!$B$5:$M$44,7,FALSE)="","",VLOOKUP($B35,'Tarifas e Resoluções'!$B$5:$M$44,7,FALSE)+VLOOKUP($B35,'Tarifas e Resoluções'!$B$5:$M$44,8,FALSE))</f>
        <v>2.54698</v>
      </c>
      <c r="I35" s="18">
        <f t="shared" si="1"/>
        <v>3.437219973009447</v>
      </c>
      <c r="J35" s="19">
        <f t="shared" si="2"/>
        <v>7.0173153443110925E-2</v>
      </c>
      <c r="L35" s="21" t="str">
        <f>VLOOKUP(N35,Rascunho!$E$4:$G$43,2,FALSE)</f>
        <v>CPFL Paulista</v>
      </c>
      <c r="M35" s="22" t="str">
        <f>VLOOKUP(N35,Rascunho!$E$4:$G$43,3,FALSE)</f>
        <v>SP</v>
      </c>
      <c r="N35" s="23">
        <f>LARGE(Rascunho!$E$4:$E$43,31)</f>
        <v>2.2894094993581513</v>
      </c>
    </row>
    <row r="36" spans="2:14" ht="15">
      <c r="B36" s="12" t="str">
        <f>'Tarifas e Resoluções'!B36</f>
        <v>Enel SP (ELETROPAULO)</v>
      </c>
      <c r="C36" s="2" t="s">
        <v>140</v>
      </c>
      <c r="D36" s="13">
        <f>VLOOKUP(C36,Rascunho!$B$3:$C$29,2,FALSE)</f>
        <v>0.18</v>
      </c>
      <c r="E36" s="14">
        <f t="shared" si="3"/>
        <v>0.05</v>
      </c>
      <c r="F36" s="15">
        <f>VLOOKUP($B36,'Tarifas e Resoluções'!$B$5:$M$44,2,FALSE)+VLOOKUP($B36,'Tarifas e Resoluções'!$B$5:$M$44,3,FALSE)</f>
        <v>1.2762</v>
      </c>
      <c r="G36" s="16">
        <f t="shared" si="0"/>
        <v>1.6382541720154042</v>
      </c>
      <c r="H36" s="17">
        <f>IF(VLOOKUP($B36,'Tarifas e Resoluções'!$B$5:$M$44,7,FALSE)="","",VLOOKUP($B36,'Tarifas e Resoluções'!$B$5:$M$44,7,FALSE)+VLOOKUP($B36,'Tarifas e Resoluções'!$B$5:$M$44,8,FALSE))</f>
        <v>1.40483</v>
      </c>
      <c r="I36" s="18">
        <f t="shared" si="1"/>
        <v>1.8033761232349166</v>
      </c>
      <c r="J36" s="19">
        <f t="shared" si="2"/>
        <v>0.10079141200438801</v>
      </c>
      <c r="L36" s="21" t="str">
        <f>VLOOKUP(N36,Rascunho!$E$4:$G$43,2,FALSE)</f>
        <v>Energisa PB (EPB)</v>
      </c>
      <c r="M36" s="22" t="str">
        <f>VLOOKUP(N36,Rascunho!$E$4:$G$43,3,FALSE)</f>
        <v>PB</v>
      </c>
      <c r="N36" s="23">
        <f>LARGE(Rascunho!$E$4:$E$43,32)</f>
        <v>2.2606447368421057</v>
      </c>
    </row>
    <row r="37" spans="2:14" ht="15">
      <c r="B37" s="12" t="str">
        <f>'Tarifas e Resoluções'!B37</f>
        <v>Amazonas Energia</v>
      </c>
      <c r="C37" s="2" t="s">
        <v>143</v>
      </c>
      <c r="D37" s="13">
        <f>VLOOKUP(C37,Rascunho!$B$3:$C$29,2,FALSE)</f>
        <v>0.2</v>
      </c>
      <c r="E37" s="14">
        <f t="shared" si="3"/>
        <v>0.05</v>
      </c>
      <c r="F37" s="15">
        <f>VLOOKUP($B37,'Tarifas e Resoluções'!$B$5:$M$44,2,FALSE)+VLOOKUP($B37,'Tarifas e Resoluções'!$B$5:$M$44,3,FALSE)</f>
        <v>1.7300900000000001</v>
      </c>
      <c r="G37" s="16">
        <f t="shared" si="0"/>
        <v>2.276434210526316</v>
      </c>
      <c r="H37" s="17">
        <f>IF(VLOOKUP($B37,'Tarifas e Resoluções'!$B$5:$M$44,7,FALSE)="","",VLOOKUP($B37,'Tarifas e Resoluções'!$B$5:$M$44,7,FALSE)+VLOOKUP($B37,'Tarifas e Resoluções'!$B$5:$M$44,8,FALSE))</f>
        <v>1.80511</v>
      </c>
      <c r="I37" s="18">
        <f t="shared" si="1"/>
        <v>2.3751447368421053</v>
      </c>
      <c r="J37" s="19">
        <f t="shared" si="2"/>
        <v>4.3361906028009933E-2</v>
      </c>
      <c r="L37" s="21" t="str">
        <f>VLOOKUP(N37,Rascunho!$E$4:$G$43,2,FALSE)</f>
        <v>FORCEL (Pacto Energia PR)</v>
      </c>
      <c r="M37" s="22" t="str">
        <f>VLOOKUP(N37,Rascunho!$E$4:$G$43,3,FALSE)</f>
        <v>PR</v>
      </c>
      <c r="N37" s="23">
        <f>LARGE(Rascunho!$E$4:$E$43,33)</f>
        <v>2.2263354037267087</v>
      </c>
    </row>
    <row r="38" spans="2:14" ht="15">
      <c r="B38" s="12" t="str">
        <f>'Tarifas e Resoluções'!B38</f>
        <v>Energisa Sul-Sudeste (ESS)</v>
      </c>
      <c r="C38" s="2" t="s">
        <v>140</v>
      </c>
      <c r="D38" s="13">
        <f>VLOOKUP(C38,Rascunho!$B$3:$C$29,2,FALSE)</f>
        <v>0.18</v>
      </c>
      <c r="E38" s="14">
        <f t="shared" si="3"/>
        <v>0.05</v>
      </c>
      <c r="F38" s="15">
        <f>VLOOKUP($B38,'Tarifas e Resoluções'!$B$5:$M$44,2,FALSE)+VLOOKUP($B38,'Tarifas e Resoluções'!$B$5:$M$44,3,FALSE)</f>
        <v>1.72994</v>
      </c>
      <c r="G38" s="16">
        <f t="shared" si="0"/>
        <v>2.2207188703465981</v>
      </c>
      <c r="H38" s="17">
        <f>IF(VLOOKUP($B38,'Tarifas e Resoluções'!$B$5:$M$44,7,FALSE)="","",VLOOKUP($B38,'Tarifas e Resoluções'!$B$5:$M$44,7,FALSE)+VLOOKUP($B38,'Tarifas e Resoluções'!$B$5:$M$44,8,FALSE))</f>
        <v>1.87388</v>
      </c>
      <c r="I38" s="18">
        <f t="shared" si="1"/>
        <v>2.4054942233632861</v>
      </c>
      <c r="J38" s="19">
        <f t="shared" si="2"/>
        <v>8.3205197868134073E-2</v>
      </c>
      <c r="L38" s="21" t="str">
        <f>VLOOKUP(N38,Rascunho!$E$4:$G$43,2,FALSE)</f>
        <v>LIGHT (LIGHT SESA)</v>
      </c>
      <c r="M38" s="22" t="str">
        <f>VLOOKUP(N38,Rascunho!$E$4:$G$43,3,FALSE)</f>
        <v>RJ</v>
      </c>
      <c r="N38" s="23">
        <f>LARGE(Rascunho!$E$4:$E$43,34)</f>
        <v>2.1777867746288799</v>
      </c>
    </row>
    <row r="39" spans="2:14" ht="15">
      <c r="B39" s="12" t="str">
        <f>'Tarifas e Resoluções'!B39</f>
        <v>Equatorial AP (CEA)</v>
      </c>
      <c r="C39" s="2" t="s">
        <v>144</v>
      </c>
      <c r="D39" s="13">
        <f>VLOOKUP(C39,Rascunho!$B$3:$C$29,2,FALSE)</f>
        <v>0.18</v>
      </c>
      <c r="E39" s="14">
        <f t="shared" si="3"/>
        <v>0.05</v>
      </c>
      <c r="F39" s="15">
        <f>VLOOKUP($B39,'Tarifas e Resoluções'!$B$5:$M$44,2,FALSE)+VLOOKUP($B39,'Tarifas e Resoluções'!$B$5:$M$44,3,FALSE)</f>
        <v>2.6431100000000001</v>
      </c>
      <c r="G39" s="16">
        <f t="shared" si="0"/>
        <v>3.3929525032092429</v>
      </c>
      <c r="H39" s="17">
        <f>IF(VLOOKUP($B39,'Tarifas e Resoluções'!$B$5:$M$44,7,FALSE)="","",VLOOKUP($B39,'Tarifas e Resoluções'!$B$5:$M$44,7,FALSE)+VLOOKUP($B39,'Tarifas e Resoluções'!$B$5:$M$44,8,FALSE))</f>
        <v>3.2629299999999999</v>
      </c>
      <c r="I39" s="18">
        <f t="shared" si="1"/>
        <v>4.188613607188703</v>
      </c>
      <c r="J39" s="19">
        <f t="shared" si="2"/>
        <v>0.2345040501530391</v>
      </c>
      <c r="L39" s="21" t="str">
        <f>VLOOKUP(N39,Rascunho!$E$4:$G$43,2,FALSE)</f>
        <v>CELESC</v>
      </c>
      <c r="M39" s="22" t="str">
        <f>VLOOKUP(N39,Rascunho!$E$4:$G$43,3,FALSE)</f>
        <v>SC</v>
      </c>
      <c r="N39" s="23">
        <f>LARGE(Rascunho!$E$4:$E$43,35)</f>
        <v>2.1767279644895372</v>
      </c>
    </row>
    <row r="40" spans="2:14" ht="15">
      <c r="B40" s="12" t="str">
        <f>'Tarifas e Resoluções'!B40</f>
        <v>CHESP</v>
      </c>
      <c r="C40" s="2" t="s">
        <v>136</v>
      </c>
      <c r="D40" s="13">
        <f>VLOOKUP(C40,Rascunho!$B$3:$C$29,2,FALSE)</f>
        <v>0.19</v>
      </c>
      <c r="E40" s="14">
        <f t="shared" si="3"/>
        <v>0.05</v>
      </c>
      <c r="F40" s="15">
        <f>VLOOKUP($B40,'Tarifas e Resoluções'!$B$5:$M$44,2,FALSE)+VLOOKUP($B40,'Tarifas e Resoluções'!$B$5:$M$44,3,FALSE)</f>
        <v>2.0872600000000001</v>
      </c>
      <c r="G40" s="16">
        <f t="shared" si="0"/>
        <v>2.7124886289798571</v>
      </c>
      <c r="H40" s="17" t="str">
        <f>IF(VLOOKUP($B40,'Tarifas e Resoluções'!$B$5:$M$44,7,FALSE)="","",VLOOKUP($B40,'Tarifas e Resoluções'!$B$5:$M$44,7,FALSE)+VLOOKUP($B40,'Tarifas e Resoluções'!$B$5:$M$44,8,FALSE))</f>
        <v/>
      </c>
      <c r="I40" s="18" t="str">
        <f t="shared" si="1"/>
        <v/>
      </c>
      <c r="J40" s="19" t="str">
        <f t="shared" si="2"/>
        <v/>
      </c>
      <c r="L40" s="21" t="str">
        <f>VLOOKUP(N40,Rascunho!$E$4:$G$43,2,FALSE)</f>
        <v>Neoenergia PE</v>
      </c>
      <c r="M40" s="22" t="str">
        <f>VLOOKUP(N40,Rascunho!$E$4:$G$43,3,FALSE)</f>
        <v>PE</v>
      </c>
      <c r="N40" s="23">
        <f>LARGE(Rascunho!$E$4:$E$43,36)</f>
        <v>2.073167825223436</v>
      </c>
    </row>
    <row r="41" spans="2:14" ht="15">
      <c r="B41" s="12" t="str">
        <f>'Tarifas e Resoluções'!B41</f>
        <v>CPFL Santa Cruz</v>
      </c>
      <c r="C41" s="2" t="s">
        <v>140</v>
      </c>
      <c r="D41" s="13">
        <f>VLOOKUP(C41,Rascunho!$B$3:$C$29,2,FALSE)</f>
        <v>0.18</v>
      </c>
      <c r="E41" s="14">
        <f t="shared" si="3"/>
        <v>0.05</v>
      </c>
      <c r="F41" s="15">
        <f>VLOOKUP($B41,'Tarifas e Resoluções'!$B$5:$M$44,2,FALSE)+VLOOKUP($B41,'Tarifas e Resoluções'!$B$5:$M$44,3,FALSE)</f>
        <v>1.88547</v>
      </c>
      <c r="G41" s="16">
        <f t="shared" si="0"/>
        <v>2.4203722721437737</v>
      </c>
      <c r="H41" s="17">
        <f>IF(VLOOKUP($B41,'Tarifas e Resoluções'!$B$5:$M$44,7,FALSE)="","",VLOOKUP($B41,'Tarifas e Resoluções'!$B$5:$M$44,7,FALSE)+VLOOKUP($B41,'Tarifas e Resoluções'!$B$5:$M$44,8,FALSE))</f>
        <v>2.19835</v>
      </c>
      <c r="I41" s="18">
        <f t="shared" si="1"/>
        <v>2.8220154043645702</v>
      </c>
      <c r="J41" s="19">
        <f t="shared" si="2"/>
        <v>0.16594270924490995</v>
      </c>
      <c r="L41" s="21" t="str">
        <f>VLOOKUP(N41,Rascunho!$E$4:$G$43,2,FALSE)</f>
        <v>Enel CE</v>
      </c>
      <c r="M41" s="22" t="str">
        <f>VLOOKUP(N41,Rascunho!$E$4:$G$43,3,FALSE)</f>
        <v>CE</v>
      </c>
      <c r="N41" s="23">
        <f>LARGE(Rascunho!$E$4:$E$43,37)</f>
        <v>2.0315394736842105</v>
      </c>
    </row>
    <row r="42" spans="2:14" ht="15">
      <c r="B42" s="12" t="str">
        <f>'Tarifas e Resoluções'!B42</f>
        <v>Energisa Minas Rio (EMR)</v>
      </c>
      <c r="C42" s="2" t="s">
        <v>132</v>
      </c>
      <c r="D42" s="13">
        <f>VLOOKUP(C42,Rascunho!$B$3:$C$29,2,FALSE)</f>
        <v>0.18</v>
      </c>
      <c r="E42" s="14">
        <f t="shared" si="3"/>
        <v>0.05</v>
      </c>
      <c r="F42" s="15">
        <f>VLOOKUP($B42,'Tarifas e Resoluções'!$B$5:$M$44,2,FALSE)+VLOOKUP($B42,'Tarifas e Resoluções'!$B$5:$M$44,3,FALSE)</f>
        <v>2.5939399999999999</v>
      </c>
      <c r="G42" s="16">
        <f t="shared" si="0"/>
        <v>3.3298331193838249</v>
      </c>
      <c r="H42" s="17">
        <f>IF(VLOOKUP($B42,'Tarifas e Resoluções'!$B$5:$M$44,7,FALSE)="","",VLOOKUP($B42,'Tarifas e Resoluções'!$B$5:$M$44,7,FALSE)+VLOOKUP($B42,'Tarifas e Resoluções'!$B$5:$M$44,8,FALSE))</f>
        <v>2.49851</v>
      </c>
      <c r="I42" s="18">
        <f t="shared" si="1"/>
        <v>3.2073299101412065</v>
      </c>
      <c r="J42" s="19">
        <f t="shared" si="2"/>
        <v>-3.6789594208038623E-2</v>
      </c>
      <c r="L42" s="21" t="str">
        <f>VLOOKUP(N42,Rascunho!$E$4:$G$43,2,FALSE)</f>
        <v>Neoenergia Brasília (CEB)</v>
      </c>
      <c r="M42" s="22" t="str">
        <f>VLOOKUP(N42,Rascunho!$E$4:$G$43,3,FALSE)</f>
        <v>DF</v>
      </c>
      <c r="N42" s="23">
        <f>LARGE(Rascunho!$E$4:$E$43,38)</f>
        <v>2.0128552631578946</v>
      </c>
    </row>
    <row r="43" spans="2:14" ht="15">
      <c r="B43" s="12" t="str">
        <f>'Tarifas e Resoluções'!B43</f>
        <v>EDP ES</v>
      </c>
      <c r="C43" s="2" t="s">
        <v>145</v>
      </c>
      <c r="D43" s="13">
        <f>VLOOKUP(C43,Rascunho!$B$3:$C$29,2,FALSE)</f>
        <v>0.17</v>
      </c>
      <c r="E43" s="14">
        <f t="shared" si="3"/>
        <v>0.05</v>
      </c>
      <c r="F43" s="15">
        <f>VLOOKUP($B43,'Tarifas e Resoluções'!$B$5:$M$44,2,FALSE)+VLOOKUP($B43,'Tarifas e Resoluções'!$B$5:$M$44,3,FALSE)</f>
        <v>1.80088</v>
      </c>
      <c r="G43" s="16">
        <f t="shared" si="0"/>
        <v>2.2839315155358277</v>
      </c>
      <c r="H43" s="17">
        <f>IF(VLOOKUP($B43,'Tarifas e Resoluções'!$B$5:$M$44,7,FALSE)="","",VLOOKUP($B43,'Tarifas e Resoluções'!$B$5:$M$44,7,FALSE)+VLOOKUP($B43,'Tarifas e Resoluções'!$B$5:$M$44,8,FALSE))</f>
        <v>1.92442</v>
      </c>
      <c r="I43" s="18">
        <f t="shared" si="1"/>
        <v>2.4406087507926446</v>
      </c>
      <c r="J43" s="19">
        <f t="shared" si="2"/>
        <v>6.8599795655457374E-2</v>
      </c>
      <c r="L43" s="21" t="str">
        <f>VLOOKUP(N43,Rascunho!$E$4:$G$43,2,FALSE)</f>
        <v>CPFL Piratininga</v>
      </c>
      <c r="M43" s="22" t="str">
        <f>VLOOKUP(N43,Rascunho!$E$4:$G$43,3,FALSE)</f>
        <v>SP</v>
      </c>
      <c r="N43" s="23">
        <f>LARGE(Rascunho!$E$4:$E$43,39)</f>
        <v>1.8707958921694479</v>
      </c>
    </row>
    <row r="44" spans="2:14" ht="15">
      <c r="B44" s="24" t="str">
        <f>'Tarifas e Resoluções'!B44</f>
        <v>FORCEL (Pacto Energia PR)</v>
      </c>
      <c r="C44" s="25" t="s">
        <v>134</v>
      </c>
      <c r="D44" s="26">
        <f>VLOOKUP(C44,Rascunho!$B$3:$C$29,2,FALSE)</f>
        <v>0.19500000000000001</v>
      </c>
      <c r="E44" s="27">
        <f t="shared" si="3"/>
        <v>0.05</v>
      </c>
      <c r="F44" s="28">
        <f>VLOOKUP($B44,'Tarifas e Resoluções'!$B$5:$M$44,2,FALSE)+VLOOKUP($B44,'Tarifas e Resoluções'!$B$5:$M$44,3,FALSE)</f>
        <v>1.70259</v>
      </c>
      <c r="G44" s="29">
        <f t="shared" si="0"/>
        <v>2.2263354037267087</v>
      </c>
      <c r="H44" s="30" t="str">
        <f>IF(VLOOKUP($B44,'Tarifas e Resoluções'!$B$5:$M$44,7,FALSE)="","",VLOOKUP($B44,'Tarifas e Resoluções'!$B$5:$M$44,7,FALSE)+VLOOKUP($B44,'Tarifas e Resoluções'!$B$5:$M$44,8,FALSE))</f>
        <v/>
      </c>
      <c r="I44" s="31" t="str">
        <f t="shared" si="1"/>
        <v/>
      </c>
      <c r="J44" s="32" t="str">
        <f t="shared" si="2"/>
        <v/>
      </c>
      <c r="L44" s="33" t="str">
        <f>VLOOKUP(N44,Rascunho!$E$4:$G$43,2,FALSE)</f>
        <v>Enel SP (ELETROPAULO)</v>
      </c>
      <c r="M44" s="34" t="str">
        <f>VLOOKUP(N44,Rascunho!$E$4:$G$43,3,FALSE)</f>
        <v>SP</v>
      </c>
      <c r="N44" s="35">
        <f>LARGE(Rascunho!$E$4:$E$43,40)</f>
        <v>1.8033761232349166</v>
      </c>
    </row>
    <row r="47" spans="2:14">
      <c r="F47" s="36"/>
      <c r="G47" s="36"/>
    </row>
    <row r="48" spans="2:14">
      <c r="F48" s="36"/>
      <c r="G48" s="36"/>
    </row>
    <row r="51" spans="6:7">
      <c r="F51" s="36"/>
      <c r="G51" s="36"/>
    </row>
    <row r="56" spans="6:7">
      <c r="F56" s="36"/>
      <c r="G56" s="36"/>
    </row>
  </sheetData>
  <mergeCells count="10">
    <mergeCell ref="L2:N3"/>
    <mergeCell ref="F2:G2"/>
    <mergeCell ref="H2:I2"/>
    <mergeCell ref="F3:G3"/>
    <mergeCell ref="H3:I3"/>
    <mergeCell ref="B2:B4"/>
    <mergeCell ref="C2:C4"/>
    <mergeCell ref="D2:D4"/>
    <mergeCell ref="E2:E4"/>
    <mergeCell ref="J2:J4"/>
  </mergeCells>
  <printOptions horizontalCentered="1"/>
  <pageMargins left="0.74803149606299202" right="0.74803149606299202" top="0.98425196850393704" bottom="0.98425196850393704" header="0.511811023622047" footer="0.511811023622047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57"/>
  <sheetViews>
    <sheetView showGridLines="0" view="pageBreakPreview" zoomScale="85" zoomScaleNormal="100" zoomScaleSheetLayoutView="85" workbookViewId="0">
      <selection activeCell="Q17" sqref="Q17"/>
    </sheetView>
  </sheetViews>
  <sheetFormatPr defaultColWidth="9.140625" defaultRowHeight="12.75"/>
  <cols>
    <col min="1" max="1" width="2.5703125" customWidth="1"/>
    <col min="2" max="2" width="36.85546875" customWidth="1"/>
    <col min="3" max="3" width="7.42578125" style="1" customWidth="1"/>
    <col min="4" max="4" width="6.140625" customWidth="1"/>
    <col min="5" max="5" width="11.85546875" customWidth="1"/>
    <col min="6" max="9" width="11" customWidth="1"/>
    <col min="10" max="10" width="11"/>
    <col min="12" max="12" width="30.42578125" customWidth="1"/>
    <col min="13" max="13" width="7.42578125" style="1" customWidth="1"/>
    <col min="14" max="14" width="13" customWidth="1"/>
    <col min="16" max="16" width="12.85546875"/>
  </cols>
  <sheetData>
    <row r="2" spans="2:15" ht="15">
      <c r="B2" s="37" t="s">
        <v>146</v>
      </c>
    </row>
    <row r="3" spans="2:15" ht="15">
      <c r="B3" s="74" t="s">
        <v>0</v>
      </c>
      <c r="C3" s="76" t="s">
        <v>110</v>
      </c>
      <c r="D3" s="76" t="s">
        <v>111</v>
      </c>
      <c r="E3" s="78" t="s">
        <v>112</v>
      </c>
      <c r="F3" s="88" t="s">
        <v>1</v>
      </c>
      <c r="G3" s="89"/>
      <c r="H3" s="90" t="s">
        <v>2</v>
      </c>
      <c r="I3" s="91"/>
      <c r="J3" s="80" t="s">
        <v>23</v>
      </c>
      <c r="L3" s="82" t="s">
        <v>147</v>
      </c>
      <c r="M3" s="83"/>
      <c r="N3" s="84"/>
    </row>
    <row r="4" spans="2:15" ht="15">
      <c r="B4" s="75"/>
      <c r="C4" s="77"/>
      <c r="D4" s="77"/>
      <c r="E4" s="79"/>
      <c r="F4" s="92" t="s">
        <v>148</v>
      </c>
      <c r="G4" s="93"/>
      <c r="H4" s="94" t="s">
        <v>148</v>
      </c>
      <c r="I4" s="95"/>
      <c r="J4" s="81"/>
      <c r="L4" s="85"/>
      <c r="M4" s="86"/>
      <c r="N4" s="87"/>
    </row>
    <row r="5" spans="2:15" ht="15">
      <c r="B5" s="75"/>
      <c r="C5" s="77"/>
      <c r="D5" s="77"/>
      <c r="E5" s="79"/>
      <c r="F5" s="5" t="s">
        <v>115</v>
      </c>
      <c r="G5" s="6" t="s">
        <v>116</v>
      </c>
      <c r="H5" s="7" t="s">
        <v>115</v>
      </c>
      <c r="I5" s="8" t="s">
        <v>116</v>
      </c>
      <c r="J5" s="81"/>
      <c r="L5" s="9" t="s">
        <v>117</v>
      </c>
      <c r="M5" s="10" t="s">
        <v>110</v>
      </c>
      <c r="N5" s="11" t="s">
        <v>118</v>
      </c>
    </row>
    <row r="6" spans="2:15" ht="15">
      <c r="B6" s="12" t="str">
        <f>'Tarifas e Resoluções'!B5</f>
        <v>Equatorial PA</v>
      </c>
      <c r="C6" s="2" t="s">
        <v>119</v>
      </c>
      <c r="D6" s="13">
        <f>VLOOKUP(C6,Rascunho!$B$3:$C$29,2,FALSE)</f>
        <v>0.19</v>
      </c>
      <c r="E6" s="14">
        <v>0.05</v>
      </c>
      <c r="F6" s="15">
        <f>((VLOOKUP($B6,'Tarifas e Resoluções'!$B$5:$M$44,2,FALSE)-VLOOKUP($B6,'Tarifas e Resoluções'!$B$5:$M$44,4,FALSE))*0.5)+VLOOKUP($B6,'Tarifas e Resoluções'!$B$5:$M$44,4,FALSE)</f>
        <v>1.3672200000000001</v>
      </c>
      <c r="G6" s="16">
        <f>F6/(1-E6)/(1-D6)+((VLOOKUP($B6,'Tarifas e Resoluções'!$B$5:$M$44,2,FALSE)-F6)/(1-E6)/(1-D6)-(VLOOKUP($B6,'Tarifas e Resoluções'!$B$5:$M$44,2,FALSE)-F6))</f>
        <v>2.140819337231969</v>
      </c>
      <c r="H6" s="17">
        <f>IF(VLOOKUP($B6,'Tarifas e Resoluções'!$B$5:$M$44,7,FALSE)="","",((VLOOKUP($B6,'Tarifas e Resoluções'!$B$5:$M$44,7,FALSE)-VLOOKUP($B6,'Tarifas e Resoluções'!$B$5:$M$44,9,FALSE))*0.5)+VLOOKUP($B6,'Tarifas e Resoluções'!$B$5:$M$44,9,FALSE))</f>
        <v>1.35622</v>
      </c>
      <c r="I6" s="18">
        <f>IFERROR(H6/(1-E6)/(1-D6)+((VLOOKUP($B6,'Tarifas e Resoluções'!$B$5:$M$44,7,FALSE)-H6)/(1-E6)/(1-D6)-(VLOOKUP($B6,'Tarifas e Resoluções'!$B$5:$M$44,7,FALSE)-H6)),"")</f>
        <v>2.1112145873944117</v>
      </c>
      <c r="J6" s="19">
        <f t="shared" ref="J6:J45" si="0">IFERROR(I6/G6-1,"")</f>
        <v>-1.3828700686081996E-2</v>
      </c>
      <c r="L6" s="21" t="str">
        <f>VLOOKUP(N6,Rascunho!$I$4:$K$43,2,FALSE)</f>
        <v>Equatorial AP (CEA)</v>
      </c>
      <c r="M6" s="22" t="str">
        <f>VLOOKUP(N6,Rascunho!$I$4:$K$43,3,FALSE)</f>
        <v>AP</v>
      </c>
      <c r="N6" s="23">
        <f>LARGE(Rascunho!$I$4:$I$43,1)</f>
        <v>2.4825867907573809</v>
      </c>
      <c r="O6">
        <v>1</v>
      </c>
    </row>
    <row r="7" spans="2:15" ht="15">
      <c r="B7" s="12" t="str">
        <f>'Tarifas e Resoluções'!B6</f>
        <v>Energisa TO (ETO)</v>
      </c>
      <c r="C7" s="2" t="s">
        <v>120</v>
      </c>
      <c r="D7" s="13">
        <f>VLOOKUP(C7,Rascunho!$B$3:$C$29,2,FALSE)</f>
        <v>0.2</v>
      </c>
      <c r="E7" s="14">
        <f t="shared" ref="E7:E16" si="1">E6</f>
        <v>0.05</v>
      </c>
      <c r="F7" s="15">
        <f>((VLOOKUP($B7,'Tarifas e Resoluções'!$B$5:$M$44,2,FALSE)-VLOOKUP($B7,'Tarifas e Resoluções'!$B$5:$M$44,4,FALSE))*0.5)+VLOOKUP($B7,'Tarifas e Resoluções'!$B$5:$M$44,4,FALSE)</f>
        <v>1.07247</v>
      </c>
      <c r="G7" s="16">
        <f>F7/(1-E7)/(1-D7)+((VLOOKUP($B7,'Tarifas e Resoluções'!$B$5:$M$44,2,FALSE)-F7)/(1-E7)/(1-D7)-(VLOOKUP($B7,'Tarifas e Resoluções'!$B$5:$M$44,2,FALSE)-F7))</f>
        <v>1.7160521052631577</v>
      </c>
      <c r="H7" s="17">
        <f>IF(VLOOKUP($B7,'Tarifas e Resoluções'!$B$5:$M$44,7,FALSE)="","",((VLOOKUP($B7,'Tarifas e Resoluções'!$B$5:$M$44,7,FALSE)-VLOOKUP($B7,'Tarifas e Resoluções'!$B$5:$M$44,9,FALSE))*0.5)+VLOOKUP($B7,'Tarifas e Resoluções'!$B$5:$M$44,9,FALSE))</f>
        <v>1.1102349999999999</v>
      </c>
      <c r="I7" s="18">
        <f>IFERROR(H7/(1-E7)/(1-D7)+((VLOOKUP($B7,'Tarifas e Resoluções'!$B$5:$M$44,7,FALSE)-H7)/(1-E7)/(1-D7)-(VLOOKUP($B7,'Tarifas e Resoluções'!$B$5:$M$44,7,FALSE)-H7)),"")</f>
        <v>1.7695939473684208</v>
      </c>
      <c r="J7" s="19">
        <f t="shared" si="0"/>
        <v>3.1200592301975805E-2</v>
      </c>
      <c r="L7" s="21" t="str">
        <f>VLOOKUP(N7,Rascunho!$I$4:$K$43,2,FALSE)</f>
        <v>Energisa AC (EAC)</v>
      </c>
      <c r="M7" s="22" t="str">
        <f>VLOOKUP(N7,Rascunho!$I$4:$K$43,3,FALSE)</f>
        <v>AC</v>
      </c>
      <c r="N7" s="23">
        <f>LARGE(Rascunho!$I$4:$I$43,2)</f>
        <v>2.2734920230669262</v>
      </c>
      <c r="O7">
        <v>2</v>
      </c>
    </row>
    <row r="8" spans="2:15" ht="15">
      <c r="B8" s="12" t="str">
        <f>'Tarifas e Resoluções'!B7</f>
        <v>Equatorial MA</v>
      </c>
      <c r="C8" s="2" t="s">
        <v>121</v>
      </c>
      <c r="D8" s="13">
        <f>VLOOKUP(C8,Rascunho!$B$3:$C$29,2,FALSE)</f>
        <v>0.22</v>
      </c>
      <c r="E8" s="14">
        <f t="shared" si="1"/>
        <v>0.05</v>
      </c>
      <c r="F8" s="15">
        <f>((VLOOKUP($B8,'Tarifas e Resoluções'!$B$5:$M$44,2,FALSE)-VLOOKUP($B8,'Tarifas e Resoluções'!$B$5:$M$44,4,FALSE))*0.5)+VLOOKUP($B8,'Tarifas e Resoluções'!$B$5:$M$44,4,FALSE)</f>
        <v>1.24681</v>
      </c>
      <c r="G8" s="16">
        <f>F8/(1-E8)/(1-D8)+((VLOOKUP($B8,'Tarifas e Resoluções'!$B$5:$M$44,2,FALSE)-F8)/(1-E8)/(1-D8)-(VLOOKUP($B8,'Tarifas e Resoluções'!$B$5:$M$44,2,FALSE)-F8))</f>
        <v>2.0778015384615385</v>
      </c>
      <c r="H8" s="17">
        <f>IF(VLOOKUP($B8,'Tarifas e Resoluções'!$B$5:$M$44,7,FALSE)="","",((VLOOKUP($B8,'Tarifas e Resoluções'!$B$5:$M$44,7,FALSE)-VLOOKUP($B8,'Tarifas e Resoluções'!$B$5:$M$44,9,FALSE))*0.5)+VLOOKUP($B8,'Tarifas e Resoluções'!$B$5:$M$44,9,FALSE))</f>
        <v>1.2741849999999999</v>
      </c>
      <c r="I8" s="18">
        <f>IFERROR(H8/(1-E8)/(1-D8)+((VLOOKUP($B8,'Tarifas e Resoluções'!$B$5:$M$44,7,FALSE)-H8)/(1-E8)/(1-D8)-(VLOOKUP($B8,'Tarifas e Resoluções'!$B$5:$M$44,7,FALSE)-H8)),"")</f>
        <v>2.1106885897435896</v>
      </c>
      <c r="J8" s="19">
        <f t="shared" si="0"/>
        <v>1.5827811594750107E-2</v>
      </c>
      <c r="L8" s="21" t="str">
        <f>VLOOKUP(N8,Rascunho!$I$4:$K$43,2,FALSE)</f>
        <v>Energisa RO (ERO)</v>
      </c>
      <c r="M8" s="22" t="str">
        <f>VLOOKUP(N8,Rascunho!$I$4:$K$43,3,FALSE)</f>
        <v>RO</v>
      </c>
      <c r="N8" s="23">
        <f>LARGE(Rascunho!$I$4:$I$43,3)</f>
        <v>2.1202749150049041</v>
      </c>
      <c r="O8">
        <v>3</v>
      </c>
    </row>
    <row r="9" spans="2:15" ht="15">
      <c r="B9" s="12" t="str">
        <f>'Tarifas e Resoluções'!B8</f>
        <v>Energisa AC (EAC)</v>
      </c>
      <c r="C9" s="2" t="s">
        <v>122</v>
      </c>
      <c r="D9" s="13">
        <f>VLOOKUP(C9,Rascunho!$B$3:$C$29,2,FALSE)</f>
        <v>0.19</v>
      </c>
      <c r="E9" s="14">
        <f t="shared" si="1"/>
        <v>0.05</v>
      </c>
      <c r="F9" s="15">
        <f>((VLOOKUP($B9,'Tarifas e Resoluções'!$B$5:$M$44,2,FALSE)-VLOOKUP($B9,'Tarifas e Resoluções'!$B$5:$M$44,4,FALSE))*0.5)+VLOOKUP($B9,'Tarifas e Resoluções'!$B$5:$M$44,4,FALSE)</f>
        <v>1.4486465000000002</v>
      </c>
      <c r="G9" s="16">
        <f>F9/(1-E9)/(1-D9)+((VLOOKUP($B9,'Tarifas e Resoluções'!$B$5:$M$44,2,FALSE)-F9)/(1-E9)/(1-D9)-(VLOOKUP($B9,'Tarifas e Resoluções'!$B$5:$M$44,2,FALSE)-F9))</f>
        <v>2.2734920230669262</v>
      </c>
      <c r="H9" s="17" t="str">
        <f>IF(VLOOKUP($B9,'Tarifas e Resoluções'!$B$5:$M$44,7,FALSE)="","",((VLOOKUP($B9,'Tarifas e Resoluções'!$B$5:$M$44,7,FALSE)-VLOOKUP($B9,'Tarifas e Resoluções'!$B$5:$M$44,9,FALSE))*0.5)+VLOOKUP($B9,'Tarifas e Resoluções'!$B$5:$M$44,9,FALSE))</f>
        <v/>
      </c>
      <c r="I9" s="18" t="str">
        <f>IFERROR(H9/(1-E9)/(1-D9)+((VLOOKUP($B9,'Tarifas e Resoluções'!$B$5:$M$44,7,FALSE)-H9)/(1-E9)/(1-D9)-(VLOOKUP($B9,'Tarifas e Resoluções'!$B$5:$M$44,7,FALSE)-H9)),"")</f>
        <v/>
      </c>
      <c r="J9" s="19" t="str">
        <f t="shared" si="0"/>
        <v/>
      </c>
      <c r="L9" s="21" t="str">
        <f>VLOOKUP(N9,Rascunho!$I$4:$K$43,2,FALSE)</f>
        <v>Equatorial PA</v>
      </c>
      <c r="M9" s="22" t="str">
        <f>VLOOKUP(N9,Rascunho!$I$4:$K$43,3,FALSE)</f>
        <v>PA</v>
      </c>
      <c r="N9" s="23">
        <f>LARGE(Rascunho!$I$4:$I$43,4)</f>
        <v>2.1112145873944117</v>
      </c>
      <c r="O9">
        <v>4</v>
      </c>
    </row>
    <row r="10" spans="2:15" ht="15">
      <c r="B10" s="12" t="str">
        <f>'Tarifas e Resoluções'!B9</f>
        <v>Energisa RO (ERO)</v>
      </c>
      <c r="C10" s="2" t="s">
        <v>123</v>
      </c>
      <c r="D10" s="13">
        <f>VLOOKUP(C10,Rascunho!$B$3:$C$29,2,FALSE)</f>
        <v>0.19500000000000001</v>
      </c>
      <c r="E10" s="14">
        <f t="shared" si="1"/>
        <v>0.05</v>
      </c>
      <c r="F10" s="15">
        <f>((VLOOKUP($B10,'Tarifas e Resoluções'!$B$5:$M$44,2,FALSE)-VLOOKUP($B10,'Tarifas e Resoluções'!$B$5:$M$44,4,FALSE))*0.5)+VLOOKUP($B10,'Tarifas e Resoluções'!$B$5:$M$44,4,FALSE)</f>
        <v>1.3420349999999999</v>
      </c>
      <c r="G10" s="16">
        <f>F10/(1-E10)/(1-D10)+((VLOOKUP($B10,'Tarifas e Resoluções'!$B$5:$M$44,2,FALSE)-F10)/(1-E10)/(1-D10)-(VLOOKUP($B10,'Tarifas e Resoluções'!$B$5:$M$44,2,FALSE)-F10))</f>
        <v>2.1202749150049041</v>
      </c>
      <c r="H10" s="17" t="str">
        <f>IF(VLOOKUP($B10,'Tarifas e Resoluções'!$B$5:$M$44,7,FALSE)="","",((VLOOKUP($B10,'Tarifas e Resoluções'!$B$5:$M$44,7,FALSE)-VLOOKUP($B10,'Tarifas e Resoluções'!$B$5:$M$44,9,FALSE))*0.5)+VLOOKUP($B10,'Tarifas e Resoluções'!$B$5:$M$44,9,FALSE))</f>
        <v/>
      </c>
      <c r="I10" s="18" t="str">
        <f>IFERROR(H10/(1-E10)/(1-D10)+((VLOOKUP($B10,'Tarifas e Resoluções'!$B$5:$M$44,7,FALSE)-H10)/(1-E10)/(1-D10)-(VLOOKUP($B10,'Tarifas e Resoluções'!$B$5:$M$44,7,FALSE)-H10)),"")</f>
        <v/>
      </c>
      <c r="J10" s="19" t="str">
        <f t="shared" si="0"/>
        <v/>
      </c>
      <c r="L10" s="21" t="str">
        <f>VLOOKUP(N10,Rascunho!$I$4:$K$43,2,FALSE)</f>
        <v>Equatorial MA</v>
      </c>
      <c r="M10" s="22" t="str">
        <f>VLOOKUP(N10,Rascunho!$I$4:$K$43,3,FALSE)</f>
        <v>MA</v>
      </c>
      <c r="N10" s="23">
        <f>LARGE(Rascunho!$I$4:$I$43,5)</f>
        <v>2.1106885897435896</v>
      </c>
      <c r="O10">
        <v>5</v>
      </c>
    </row>
    <row r="11" spans="2:15" ht="15">
      <c r="B11" s="12" t="str">
        <f>'Tarifas e Resoluções'!B10</f>
        <v>LIGHT (LIGHT SESA)</v>
      </c>
      <c r="C11" s="2" t="s">
        <v>124</v>
      </c>
      <c r="D11" s="13">
        <f>VLOOKUP(C11,Rascunho!$B$3:$C$29,2,FALSE)</f>
        <v>0.22</v>
      </c>
      <c r="E11" s="14">
        <f t="shared" si="1"/>
        <v>0.05</v>
      </c>
      <c r="F11" s="15">
        <f>((VLOOKUP($B11,'Tarifas e Resoluções'!$B$5:$M$44,2,FALSE)-VLOOKUP($B11,'Tarifas e Resoluções'!$B$5:$M$44,4,FALSE))*0.5)+VLOOKUP($B11,'Tarifas e Resoluções'!$B$5:$M$44,4,FALSE)</f>
        <v>0.64215500000000003</v>
      </c>
      <c r="G11" s="16">
        <f>F11/(1-E11)/(1-D11)+((VLOOKUP($B11,'Tarifas e Resoluções'!$B$5:$M$44,2,FALSE)-F11)/(1-E11)/(1-D11)-(VLOOKUP($B11,'Tarifas e Resoluções'!$B$5:$M$44,2,FALSE)-F11))</f>
        <v>1.0346081578947368</v>
      </c>
      <c r="H11" s="17">
        <f>IF(VLOOKUP($B11,'Tarifas e Resoluções'!$B$5:$M$44,7,FALSE)="","",((VLOOKUP($B11,'Tarifas e Resoluções'!$B$5:$M$44,7,FALSE)-VLOOKUP($B11,'Tarifas e Resoluções'!$B$5:$M$44,9,FALSE))*0.5)+VLOOKUP($B11,'Tarifas e Resoluções'!$B$5:$M$44,9,FALSE))</f>
        <v>0.69566499999999998</v>
      </c>
      <c r="I11" s="18">
        <f>IFERROR(H11/(1-E11)/(1-D11)+((VLOOKUP($B11,'Tarifas e Resoluções'!$B$5:$M$44,7,FALSE)-H11)/(1-E11)/(1-D11)-(VLOOKUP($B11,'Tarifas e Resoluções'!$B$5:$M$44,7,FALSE)-H11)),"")</f>
        <v>1.1068213832658569</v>
      </c>
      <c r="J11" s="19">
        <f t="shared" si="0"/>
        <v>6.9797657035744365E-2</v>
      </c>
      <c r="L11" s="21" t="str">
        <f>VLOOKUP(N11,Rascunho!$I$4:$K$43,2,FALSE)</f>
        <v>Equatorial PI</v>
      </c>
      <c r="M11" s="22" t="str">
        <f>VLOOKUP(N11,Rascunho!$I$4:$K$43,3,FALSE)</f>
        <v>PI</v>
      </c>
      <c r="N11" s="23">
        <f>LARGE(Rascunho!$I$4:$I$43,6)</f>
        <v>2.0411516298811545</v>
      </c>
      <c r="O11">
        <v>6</v>
      </c>
    </row>
    <row r="12" spans="2:15" ht="15">
      <c r="B12" s="12" t="str">
        <f>'Tarifas e Resoluções'!B11</f>
        <v>Energisa MT (EMT)</v>
      </c>
      <c r="C12" s="2" t="s">
        <v>125</v>
      </c>
      <c r="D12" s="13">
        <f>VLOOKUP(C12,Rascunho!$B$3:$C$29,2,FALSE)</f>
        <v>0.17</v>
      </c>
      <c r="E12" s="14">
        <f t="shared" si="1"/>
        <v>0.05</v>
      </c>
      <c r="F12" s="15">
        <f>((VLOOKUP($B12,'Tarifas e Resoluções'!$B$5:$M$44,2,FALSE)-VLOOKUP($B12,'Tarifas e Resoluções'!$B$5:$M$44,4,FALSE))*0.5)+VLOOKUP($B12,'Tarifas e Resoluções'!$B$5:$M$44,4,FALSE)</f>
        <v>0.92217000000000005</v>
      </c>
      <c r="G12" s="16">
        <f>F12/(1-E12)/(1-D12)+((VLOOKUP($B12,'Tarifas e Resoluções'!$B$5:$M$44,2,FALSE)-F12)/(1-E12)/(1-D12)-(VLOOKUP($B12,'Tarifas e Resoluções'!$B$5:$M$44,2,FALSE)-F12))</f>
        <v>1.3817271781864302</v>
      </c>
      <c r="H12" s="17">
        <f>IF(VLOOKUP($B12,'Tarifas e Resoluções'!$B$5:$M$44,7,FALSE)="","",((VLOOKUP($B12,'Tarifas e Resoluções'!$B$5:$M$44,7,FALSE)-VLOOKUP($B12,'Tarifas e Resoluções'!$B$5:$M$44,9,FALSE))*0.5)+VLOOKUP($B12,'Tarifas e Resoluções'!$B$5:$M$44,9,FALSE))</f>
        <v>0.98695999999999995</v>
      </c>
      <c r="I12" s="18">
        <f>IFERROR(H12/(1-E12)/(1-D12)+((VLOOKUP($B12,'Tarifas e Resoluções'!$B$5:$M$44,7,FALSE)-H12)/(1-E12)/(1-D12)-(VLOOKUP($B12,'Tarifas e Resoluções'!$B$5:$M$44,7,FALSE)-H12)),"")</f>
        <v>1.4719159543436908</v>
      </c>
      <c r="J12" s="19">
        <f t="shared" si="0"/>
        <v>6.5272491980389979E-2</v>
      </c>
      <c r="L12" s="21" t="str">
        <f>VLOOKUP(N12,Rascunho!$I$4:$K$43,2,FALSE)</f>
        <v>Neoenergia BA (COELBA)</v>
      </c>
      <c r="M12" s="22" t="str">
        <f>VLOOKUP(N12,Rascunho!$I$4:$K$43,3,FALSE)</f>
        <v>BA</v>
      </c>
      <c r="N12" s="23">
        <f>LARGE(Rascunho!$I$4:$I$43,7)</f>
        <v>2.0254474665195441</v>
      </c>
      <c r="O12">
        <v>7</v>
      </c>
    </row>
    <row r="13" spans="2:15" ht="15">
      <c r="B13" s="12" t="str">
        <f>'Tarifas e Resoluções'!B12</f>
        <v>Energisa PB (EPB)</v>
      </c>
      <c r="C13" s="2" t="s">
        <v>126</v>
      </c>
      <c r="D13" s="13">
        <f>VLOOKUP(C13,Rascunho!$B$3:$C$29,2,FALSE)</f>
        <v>0.2</v>
      </c>
      <c r="E13" s="14">
        <f t="shared" si="1"/>
        <v>0.05</v>
      </c>
      <c r="F13" s="15">
        <f>((VLOOKUP($B13,'Tarifas e Resoluções'!$B$5:$M$44,2,FALSE)-VLOOKUP($B13,'Tarifas e Resoluções'!$B$5:$M$44,4,FALSE))*0.5)+VLOOKUP($B13,'Tarifas e Resoluções'!$B$5:$M$44,4,FALSE)</f>
        <v>0.69002499999999989</v>
      </c>
      <c r="G13" s="16">
        <f>F13/(1-E13)/(1-D13)+((VLOOKUP($B13,'Tarifas e Resoluções'!$B$5:$M$44,2,FALSE)-F13)/(1-E13)/(1-D13)-(VLOOKUP($B13,'Tarifas e Resoluções'!$B$5:$M$44,2,FALSE)-F13))</f>
        <v>1.0947218421052631</v>
      </c>
      <c r="H13" s="17">
        <f>IF(VLOOKUP($B13,'Tarifas e Resoluções'!$B$5:$M$44,7,FALSE)="","",((VLOOKUP($B13,'Tarifas e Resoluções'!$B$5:$M$44,7,FALSE)-VLOOKUP($B13,'Tarifas e Resoluções'!$B$5:$M$44,9,FALSE))*0.5)+VLOOKUP($B13,'Tarifas e Resoluções'!$B$5:$M$44,9,FALSE))</f>
        <v>0.70821000000000001</v>
      </c>
      <c r="I13" s="18">
        <f>IFERROR(H13/(1-E13)/(1-D13)+((VLOOKUP($B13,'Tarifas e Resoluções'!$B$5:$M$44,7,FALSE)-H13)/(1-E13)/(1-D13)-(VLOOKUP($B13,'Tarifas e Resoluções'!$B$5:$M$44,7,FALSE)-H13)),"")</f>
        <v>1.1155468421052632</v>
      </c>
      <c r="J13" s="19">
        <f t="shared" si="0"/>
        <v>1.9023097191475991E-2</v>
      </c>
      <c r="L13" s="21" t="str">
        <f>VLOOKUP(N13,Rascunho!$I$4:$K$43,2,FALSE)</f>
        <v>Enel RJ</v>
      </c>
      <c r="M13" s="22" t="str">
        <f>VLOOKUP(N13,Rascunho!$I$4:$K$43,3,FALSE)</f>
        <v>RJ</v>
      </c>
      <c r="N13" s="23">
        <f>LARGE(Rascunho!$I$4:$I$43,8)</f>
        <v>1.859504770580297</v>
      </c>
      <c r="O13">
        <v>8</v>
      </c>
    </row>
    <row r="14" spans="2:15" ht="15">
      <c r="B14" s="12" t="str">
        <f>'Tarifas e Resoluções'!B13</f>
        <v>SULGIPE</v>
      </c>
      <c r="C14" s="2" t="s">
        <v>127</v>
      </c>
      <c r="D14" s="13">
        <f>VLOOKUP(C14,Rascunho!$B$3:$C$29,2,FALSE)</f>
        <v>0.2</v>
      </c>
      <c r="E14" s="14">
        <f t="shared" si="1"/>
        <v>0.05</v>
      </c>
      <c r="F14" s="15">
        <f>((VLOOKUP($B14,'Tarifas e Resoluções'!$B$5:$M$44,2,FALSE)-VLOOKUP($B14,'Tarifas e Resoluções'!$B$5:$M$44,4,FALSE))*0.5)+VLOOKUP($B14,'Tarifas e Resoluções'!$B$5:$M$44,4,FALSE)</f>
        <v>0.89393499999999992</v>
      </c>
      <c r="G14" s="16">
        <f>F14/(1-E14)/(1-D14)+((VLOOKUP($B14,'Tarifas e Resoluções'!$B$5:$M$44,2,FALSE)-F14)/(1-E14)/(1-D14)-(VLOOKUP($B14,'Tarifas e Resoluções'!$B$5:$M$44,2,FALSE)-F14))</f>
        <v>1.4317055263157894</v>
      </c>
      <c r="H14" s="17">
        <f>IF(VLOOKUP($B14,'Tarifas e Resoluções'!$B$5:$M$44,7,FALSE)="","",((VLOOKUP($B14,'Tarifas e Resoluções'!$B$5:$M$44,7,FALSE)-VLOOKUP($B14,'Tarifas e Resoluções'!$B$5:$M$44,9,FALSE))*0.5)+VLOOKUP($B14,'Tarifas e Resoluções'!$B$5:$M$44,9,FALSE))</f>
        <v>0.92055500000000001</v>
      </c>
      <c r="I14" s="18">
        <f>IFERROR(H14/(1-E14)/(1-D14)+((VLOOKUP($B14,'Tarifas e Resoluções'!$B$5:$M$44,7,FALSE)-H14)/(1-E14)/(1-D14)-(VLOOKUP($B14,'Tarifas e Resoluções'!$B$5:$M$44,7,FALSE)-H14)),"")</f>
        <v>1.4633276315789474</v>
      </c>
      <c r="J14" s="19">
        <f t="shared" si="0"/>
        <v>2.2087017673621201E-2</v>
      </c>
      <c r="L14" s="21" t="str">
        <f>VLOOKUP(N14,Rascunho!$I$4:$K$43,2,FALSE)</f>
        <v>Energisa TO (ETO)</v>
      </c>
      <c r="M14" s="22" t="str">
        <f>VLOOKUP(N14,Rascunho!$I$4:$K$43,3,FALSE)</f>
        <v>TO</v>
      </c>
      <c r="N14" s="23">
        <f>LARGE(Rascunho!$I$4:$I$43,9)</f>
        <v>1.7695939473684208</v>
      </c>
      <c r="O14">
        <v>9</v>
      </c>
    </row>
    <row r="15" spans="2:15" ht="15">
      <c r="B15" s="12" t="str">
        <f>'Tarifas e Resoluções'!B14</f>
        <v>Neoenergia PE</v>
      </c>
      <c r="C15" s="2" t="s">
        <v>128</v>
      </c>
      <c r="D15" s="13">
        <f>VLOOKUP(C15,Rascunho!$B$3:$C$29,2,FALSE)</f>
        <v>0.20499999999999999</v>
      </c>
      <c r="E15" s="14">
        <f t="shared" si="1"/>
        <v>0.05</v>
      </c>
      <c r="F15" s="15">
        <f>((VLOOKUP($B15,'Tarifas e Resoluções'!$B$5:$M$44,2,FALSE)-VLOOKUP($B15,'Tarifas e Resoluções'!$B$5:$M$44,4,FALSE))*0.5)+VLOOKUP($B15,'Tarifas e Resoluções'!$B$5:$M$44,4,FALSE)</f>
        <v>0.66954499999999995</v>
      </c>
      <c r="G15" s="16">
        <f>F15/(1-E15)/(1-D15)+((VLOOKUP($B15,'Tarifas e Resoluções'!$B$5:$M$44,2,FALSE)-F15)/(1-E15)/(1-D15)-(VLOOKUP($B15,'Tarifas e Resoluções'!$B$5:$M$44,2,FALSE)-F15))</f>
        <v>1.0728145762992385</v>
      </c>
      <c r="H15" s="17">
        <f>IF(VLOOKUP($B15,'Tarifas e Resoluções'!$B$5:$M$44,7,FALSE)="","",((VLOOKUP($B15,'Tarifas e Resoluções'!$B$5:$M$44,7,FALSE)-VLOOKUP($B15,'Tarifas e Resoluções'!$B$5:$M$44,9,FALSE))*0.5)+VLOOKUP($B15,'Tarifas e Resoluções'!$B$5:$M$44,9,FALSE))</f>
        <v>0.62582499999999996</v>
      </c>
      <c r="I15" s="18">
        <f>IFERROR(H15/(1-E15)/(1-D15)+((VLOOKUP($B15,'Tarifas e Resoluções'!$B$5:$M$44,7,FALSE)-H15)/(1-E15)/(1-D15)-(VLOOKUP($B15,'Tarifas e Resoluções'!$B$5:$M$44,7,FALSE)-H15)),"")</f>
        <v>0.99138962760675264</v>
      </c>
      <c r="J15" s="19">
        <f t="shared" si="0"/>
        <v>-7.5898436217531562E-2</v>
      </c>
      <c r="L15" s="21" t="str">
        <f>VLOOKUP(N15,Rascunho!$I$4:$K$43,2,FALSE)</f>
        <v>Neoenergia RN (COSERN)</v>
      </c>
      <c r="M15" s="22" t="str">
        <f>VLOOKUP(N15,Rascunho!$I$4:$K$43,3,FALSE)</f>
        <v>RN</v>
      </c>
      <c r="N15" s="23">
        <f>LARGE(Rascunho!$I$4:$I$43,10)</f>
        <v>1.6335831193838251</v>
      </c>
      <c r="O15">
        <v>10</v>
      </c>
    </row>
    <row r="16" spans="2:15" ht="15">
      <c r="B16" s="12" t="str">
        <f>'Tarifas e Resoluções'!B15</f>
        <v>Neoenergia BA (COELBA)</v>
      </c>
      <c r="C16" s="2" t="s">
        <v>129</v>
      </c>
      <c r="D16" s="13">
        <f>VLOOKUP(C16,Rascunho!$B$3:$C$29,2,FALSE)</f>
        <v>0.1295</v>
      </c>
      <c r="E16" s="14">
        <f t="shared" si="1"/>
        <v>0.05</v>
      </c>
      <c r="F16" s="15">
        <f>((VLOOKUP($B16,'Tarifas e Resoluções'!$B$5:$M$44,2,FALSE)-VLOOKUP($B16,'Tarifas e Resoluções'!$B$5:$M$44,4,FALSE))*0.5)+VLOOKUP($B16,'Tarifas e Resoluções'!$B$5:$M$44,4,FALSE)</f>
        <v>1.38873</v>
      </c>
      <c r="G16" s="16">
        <f>F16/(1-E16)/(1-D16)+((VLOOKUP($B16,'Tarifas e Resoluções'!$B$5:$M$44,2,FALSE)-F16)/(1-E16)/(1-D16)-(VLOOKUP($B16,'Tarifas e Resoluções'!$B$5:$M$44,2,FALSE)-F16))</f>
        <v>1.9486282085310922</v>
      </c>
      <c r="H16" s="17">
        <f>IF(VLOOKUP($B16,'Tarifas e Resoluções'!$B$5:$M$44,7,FALSE)="","",((VLOOKUP($B16,'Tarifas e Resoluções'!$B$5:$M$44,7,FALSE)-VLOOKUP($B16,'Tarifas e Resoluções'!$B$5:$M$44,9,FALSE))*0.5)+VLOOKUP($B16,'Tarifas e Resoluções'!$B$5:$M$44,9,FALSE))</f>
        <v>1.448445</v>
      </c>
      <c r="I16" s="18">
        <f>IFERROR(H16/(1-E16)/(1-D16)+((VLOOKUP($B16,'Tarifas e Resoluções'!$B$5:$M$44,7,FALSE)-H16)/(1-E16)/(1-D16)-(VLOOKUP($B16,'Tarifas e Resoluções'!$B$5:$M$44,7,FALSE)-H16)),"")</f>
        <v>2.0254474665195441</v>
      </c>
      <c r="J16" s="19">
        <f t="shared" si="0"/>
        <v>3.942222413292451E-2</v>
      </c>
      <c r="L16" s="21" t="str">
        <f>VLOOKUP(N16,Rascunho!$I$4:$K$43,2,FALSE)</f>
        <v>Equatorial AL</v>
      </c>
      <c r="M16" s="22" t="str">
        <f>VLOOKUP(N16,Rascunho!$I$4:$K$43,3,FALSE)</f>
        <v>AL</v>
      </c>
      <c r="N16" s="23">
        <f>LARGE(Rascunho!$I$4:$I$43,11)</f>
        <v>1.6156944736842105</v>
      </c>
      <c r="O16">
        <v>11</v>
      </c>
    </row>
    <row r="17" spans="2:15" ht="15">
      <c r="B17" s="12" t="str">
        <f>'Tarifas e Resoluções'!B16</f>
        <v>Equatorial PI</v>
      </c>
      <c r="C17" s="2" t="s">
        <v>130</v>
      </c>
      <c r="D17" s="13">
        <f>VLOOKUP(C17,Rascunho!$B$3:$C$29,2,FALSE)</f>
        <v>0.22500000000000001</v>
      </c>
      <c r="E17" s="14">
        <f t="shared" ref="E17:E45" si="2">E16</f>
        <v>0.05</v>
      </c>
      <c r="F17" s="15">
        <f>((VLOOKUP($B17,'Tarifas e Resoluções'!$B$5:$M$44,2,FALSE)-VLOOKUP($B17,'Tarifas e Resoluções'!$B$5:$M$44,4,FALSE))*0.5)+VLOOKUP($B17,'Tarifas e Resoluções'!$B$5:$M$44,4,FALSE)</f>
        <v>1.2184199999999998</v>
      </c>
      <c r="G17" s="16">
        <f>F17/(1-E17)/(1-D17)+((VLOOKUP($B17,'Tarifas e Resoluções'!$B$5:$M$44,2,FALSE)-F17)/(1-E17)/(1-D17)-(VLOOKUP($B17,'Tarifas e Resoluções'!$B$5:$M$44,2,FALSE)-F17))</f>
        <v>2.0411516298811545</v>
      </c>
      <c r="H17" s="17" t="str">
        <f>IF(VLOOKUP($B17,'Tarifas e Resoluções'!$B$5:$M$44,7,FALSE)="","",((VLOOKUP($B17,'Tarifas e Resoluções'!$B$5:$M$44,7,FALSE)-VLOOKUP($B17,'Tarifas e Resoluções'!$B$5:$M$44,9,FALSE))*0.5)+VLOOKUP($B17,'Tarifas e Resoluções'!$B$5:$M$44,9,FALSE))</f>
        <v/>
      </c>
      <c r="I17" s="18" t="str">
        <f>IFERROR(H17/(1-E17)/(1-D17)+((VLOOKUP($B17,'Tarifas e Resoluções'!$B$5:$M$44,7,FALSE)-H17)/(1-E17)/(1-D17)-(VLOOKUP($B17,'Tarifas e Resoluções'!$B$5:$M$44,7,FALSE)-H17)),"")</f>
        <v/>
      </c>
      <c r="J17" s="19" t="str">
        <f t="shared" si="0"/>
        <v/>
      </c>
      <c r="L17" s="21" t="str">
        <f>VLOOKUP(N17,Rascunho!$I$4:$K$43,2,FALSE)</f>
        <v>Energisa Minas Rio (EMR)</v>
      </c>
      <c r="M17" s="22" t="str">
        <f>VLOOKUP(N17,Rascunho!$I$4:$K$43,3,FALSE)</f>
        <v>MG</v>
      </c>
      <c r="N17" s="23">
        <f>LARGE(Rascunho!$I$4:$I$43,12)</f>
        <v>1.5998974261874195</v>
      </c>
      <c r="O17">
        <v>12</v>
      </c>
    </row>
    <row r="18" spans="2:15" ht="15">
      <c r="B18" s="12" t="str">
        <f>'Tarifas e Resoluções'!B17</f>
        <v>Energisa MS (EMS)</v>
      </c>
      <c r="C18" s="2" t="s">
        <v>131</v>
      </c>
      <c r="D18" s="13">
        <f>VLOOKUP(C18,Rascunho!$B$3:$C$29,2,FALSE)</f>
        <v>0.17</v>
      </c>
      <c r="E18" s="14">
        <f t="shared" si="2"/>
        <v>0.05</v>
      </c>
      <c r="F18" s="15">
        <f>((VLOOKUP($B18,'Tarifas e Resoluções'!$B$5:$M$44,2,FALSE)-VLOOKUP($B18,'Tarifas e Resoluções'!$B$5:$M$44,4,FALSE))*0.5)+VLOOKUP($B18,'Tarifas e Resoluções'!$B$5:$M$44,4,FALSE)</f>
        <v>0.96995500000000001</v>
      </c>
      <c r="G18" s="16">
        <f>F18/(1-E18)/(1-D18)+((VLOOKUP($B18,'Tarifas e Resoluções'!$B$5:$M$44,2,FALSE)-F18)/(1-E18)/(1-D18)-(VLOOKUP($B18,'Tarifas e Resoluções'!$B$5:$M$44,2,FALSE)-F18))</f>
        <v>1.4554340044388083</v>
      </c>
      <c r="H18" s="17">
        <f>IF(VLOOKUP($B18,'Tarifas e Resoluções'!$B$5:$M$44,7,FALSE)="","",((VLOOKUP($B18,'Tarifas e Resoluções'!$B$5:$M$44,7,FALSE)-VLOOKUP($B18,'Tarifas e Resoluções'!$B$5:$M$44,9,FALSE))*0.5)+VLOOKUP($B18,'Tarifas e Resoluções'!$B$5:$M$44,9,FALSE))</f>
        <v>1.0358700000000001</v>
      </c>
      <c r="I18" s="18">
        <f>IFERROR(H18/(1-E18)/(1-D18)+((VLOOKUP($B18,'Tarifas e Resoluções'!$B$5:$M$44,7,FALSE)-H18)/(1-E18)/(1-D18)-(VLOOKUP($B18,'Tarifas e Resoluções'!$B$5:$M$44,7,FALSE)-H18)),"")</f>
        <v>1.543370754597337</v>
      </c>
      <c r="J18" s="19">
        <f t="shared" si="0"/>
        <v>6.0419606722350583E-2</v>
      </c>
      <c r="L18" s="21" t="str">
        <f>VLOOKUP(N18,Rascunho!$I$4:$K$43,2,FALSE)</f>
        <v>CEMIG</v>
      </c>
      <c r="M18" s="22" t="str">
        <f>VLOOKUP(N18,Rascunho!$I$4:$K$43,3,FALSE)</f>
        <v>MG</v>
      </c>
      <c r="N18" s="23">
        <f>LARGE(Rascunho!$I$4:$I$43,13)</f>
        <v>1.5920761039794604</v>
      </c>
      <c r="O18">
        <v>13</v>
      </c>
    </row>
    <row r="19" spans="2:15" ht="15">
      <c r="B19" s="12" t="str">
        <f>'Tarifas e Resoluções'!B18</f>
        <v>CEMIG</v>
      </c>
      <c r="C19" s="2" t="s">
        <v>132</v>
      </c>
      <c r="D19" s="13">
        <f>VLOOKUP(C19,Rascunho!$B$3:$C$29,2,FALSE)</f>
        <v>0.18</v>
      </c>
      <c r="E19" s="14">
        <f t="shared" si="2"/>
        <v>0.05</v>
      </c>
      <c r="F19" s="15">
        <f>((VLOOKUP($B19,'Tarifas e Resoluções'!$B$5:$M$44,2,FALSE)-VLOOKUP($B19,'Tarifas e Resoluções'!$B$5:$M$44,4,FALSE))*0.5)+VLOOKUP($B19,'Tarifas e Resoluções'!$B$5:$M$44,4,FALSE)</f>
        <v>0.98114000000000001</v>
      </c>
      <c r="G19" s="16">
        <f>F19/(1-E19)/(1-D19)+((VLOOKUP($B19,'Tarifas e Resoluções'!$B$5:$M$44,2,FALSE)-F19)/(1-E19)/(1-D19)-(VLOOKUP($B19,'Tarifas e Resoluções'!$B$5:$M$44,2,FALSE)-F19))</f>
        <v>1.4943621437740693</v>
      </c>
      <c r="H19" s="17">
        <f>IF(VLOOKUP($B19,'Tarifas e Resoluções'!$B$5:$M$44,7,FALSE)="","",((VLOOKUP($B19,'Tarifas e Resoluções'!$B$5:$M$44,7,FALSE)-VLOOKUP($B19,'Tarifas e Resoluções'!$B$5:$M$44,9,FALSE))*0.5)+VLOOKUP($B19,'Tarifas e Resoluções'!$B$5:$M$44,9,FALSE))</f>
        <v>1.0493749999999999</v>
      </c>
      <c r="I19" s="18">
        <f>IFERROR(H19/(1-E19)/(1-D19)+((VLOOKUP($B19,'Tarifas e Resoluções'!$B$5:$M$44,7,FALSE)-H19)/(1-E19)/(1-D19)-(VLOOKUP($B19,'Tarifas e Resoluções'!$B$5:$M$44,7,FALSE)-H19)),"")</f>
        <v>1.5920761039794604</v>
      </c>
      <c r="J19" s="19">
        <f t="shared" si="0"/>
        <v>6.5388407095625878E-2</v>
      </c>
      <c r="L19" s="21" t="str">
        <f>VLOOKUP(N19,Rascunho!$I$4:$K$43,2,FALSE)</f>
        <v>Energisa MS (EMS)</v>
      </c>
      <c r="M19" s="22" t="str">
        <f>VLOOKUP(N19,Rascunho!$I$4:$K$43,3,FALSE)</f>
        <v>MS</v>
      </c>
      <c r="N19" s="23">
        <f>LARGE(Rascunho!$I$4:$I$43,14)</f>
        <v>1.543370754597337</v>
      </c>
      <c r="O19">
        <v>14</v>
      </c>
    </row>
    <row r="20" spans="2:15" ht="15">
      <c r="B20" s="12" t="str">
        <f>'Tarifas e Resoluções'!B19</f>
        <v>Equatorial AL</v>
      </c>
      <c r="C20" s="2" t="s">
        <v>133</v>
      </c>
      <c r="D20" s="13">
        <f>VLOOKUP(C20,Rascunho!$B$3:$C$29,2,FALSE)</f>
        <v>0.2</v>
      </c>
      <c r="E20" s="14">
        <f t="shared" si="2"/>
        <v>0.05</v>
      </c>
      <c r="F20" s="15">
        <f>((VLOOKUP($B20,'Tarifas e Resoluções'!$B$5:$M$44,2,FALSE)-VLOOKUP($B20,'Tarifas e Resoluções'!$B$5:$M$44,4,FALSE))*0.5)+VLOOKUP($B20,'Tarifas e Resoluções'!$B$5:$M$44,4,FALSE)</f>
        <v>0.9902200000000001</v>
      </c>
      <c r="G20" s="16">
        <f>F20/(1-E20)/(1-D20)+((VLOOKUP($B20,'Tarifas e Resoluções'!$B$5:$M$44,2,FALSE)-F20)/(1-E20)/(1-D20)-(VLOOKUP($B20,'Tarifas e Resoluções'!$B$5:$M$44,2,FALSE)-F20))</f>
        <v>1.5718821052631577</v>
      </c>
      <c r="H20" s="17">
        <f>IF(VLOOKUP($B20,'Tarifas e Resoluções'!$B$5:$M$44,7,FALSE)="","",((VLOOKUP($B20,'Tarifas e Resoluções'!$B$5:$M$44,7,FALSE)-VLOOKUP($B20,'Tarifas e Resoluções'!$B$5:$M$44,9,FALSE))*0.5)+VLOOKUP($B20,'Tarifas e Resoluções'!$B$5:$M$44,9,FALSE))</f>
        <v>1.0235449999999999</v>
      </c>
      <c r="I20" s="18">
        <f>IFERROR(H20/(1-E20)/(1-D20)+((VLOOKUP($B20,'Tarifas e Resoluções'!$B$5:$M$44,7,FALSE)-H20)/(1-E20)/(1-D20)-(VLOOKUP($B20,'Tarifas e Resoluções'!$B$5:$M$44,7,FALSE)-H20)),"")</f>
        <v>1.6156944736842105</v>
      </c>
      <c r="J20" s="19">
        <f t="shared" si="0"/>
        <v>2.7872553720380777E-2</v>
      </c>
      <c r="L20" s="21" t="str">
        <f>VLOOKUP(N20,Rascunho!$I$4:$K$43,2,FALSE)</f>
        <v>CPFL Santa Cruz</v>
      </c>
      <c r="M20" s="22" t="str">
        <f>VLOOKUP(N20,Rascunho!$I$4:$K$43,3,FALSE)</f>
        <v>SP</v>
      </c>
      <c r="N20" s="23">
        <f>LARGE(Rascunho!$I$4:$I$43,15)</f>
        <v>1.507304922978177</v>
      </c>
      <c r="O20">
        <v>15</v>
      </c>
    </row>
    <row r="21" spans="2:15" ht="15">
      <c r="B21" s="12" t="str">
        <f>'Tarifas e Resoluções'!B20</f>
        <v>COCEL</v>
      </c>
      <c r="C21" s="2" t="s">
        <v>134</v>
      </c>
      <c r="D21" s="13">
        <f>VLOOKUP(C21,Rascunho!$B$3:$C$29,2,FALSE)</f>
        <v>0.19500000000000001</v>
      </c>
      <c r="E21" s="14">
        <f t="shared" si="2"/>
        <v>0.05</v>
      </c>
      <c r="F21" s="15">
        <f>((VLOOKUP($B21,'Tarifas e Resoluções'!$B$5:$M$44,2,FALSE)-VLOOKUP($B21,'Tarifas e Resoluções'!$B$5:$M$44,4,FALSE))*0.5)+VLOOKUP($B21,'Tarifas e Resoluções'!$B$5:$M$44,4,FALSE)</f>
        <v>0.60624500000000003</v>
      </c>
      <c r="G21" s="16">
        <f>F21/(1-E21)/(1-D21)+((VLOOKUP($B21,'Tarifas e Resoluções'!$B$5:$M$44,2,FALSE)-F21)/(1-E21)/(1-D21)-(VLOOKUP($B21,'Tarifas e Resoluções'!$B$5:$M$44,2,FALSE)-F21))</f>
        <v>0.94603859267734569</v>
      </c>
      <c r="H21" s="17">
        <f>IF(VLOOKUP($B21,'Tarifas e Resoluções'!$B$5:$M$44,7,FALSE)="","",((VLOOKUP($B21,'Tarifas e Resoluções'!$B$5:$M$44,7,FALSE)-VLOOKUP($B21,'Tarifas e Resoluções'!$B$5:$M$44,9,FALSE))*0.5)+VLOOKUP($B21,'Tarifas e Resoluções'!$B$5:$M$44,9,FALSE))</f>
        <v>0.76083500000000004</v>
      </c>
      <c r="I21" s="18">
        <f>IFERROR(H21/(1-E21)/(1-D21)+((VLOOKUP($B21,'Tarifas e Resoluções'!$B$5:$M$44,7,FALSE)-H21)/(1-E21)/(1-D21)-(VLOOKUP($B21,'Tarifas e Resoluções'!$B$5:$M$44,7,FALSE)-H21)),"")</f>
        <v>1.1906711261850282</v>
      </c>
      <c r="J21" s="19">
        <f t="shared" si="0"/>
        <v>0.25858620927435716</v>
      </c>
      <c r="L21" s="21" t="str">
        <f>VLOOKUP(N21,Rascunho!$I$4:$K$43,2,FALSE)</f>
        <v>RGE Sul</v>
      </c>
      <c r="M21" s="22" t="str">
        <f>VLOOKUP(N21,Rascunho!$I$4:$K$43,3,FALSE)</f>
        <v>RS</v>
      </c>
      <c r="N21" s="23">
        <f>LARGE(Rascunho!$I$4:$I$43,16)</f>
        <v>1.4885117279644899</v>
      </c>
    </row>
    <row r="22" spans="2:15" ht="15">
      <c r="B22" s="12" t="str">
        <f>'Tarifas e Resoluções'!B21</f>
        <v>RGE Sul</v>
      </c>
      <c r="C22" s="2" t="s">
        <v>135</v>
      </c>
      <c r="D22" s="13">
        <f>VLOOKUP(C22,Rascunho!$B$3:$C$29,2,FALSE)</f>
        <v>0.17</v>
      </c>
      <c r="E22" s="14">
        <f t="shared" si="2"/>
        <v>0.05</v>
      </c>
      <c r="F22" s="15">
        <f>((VLOOKUP($B22,'Tarifas e Resoluções'!$B$5:$M$44,2,FALSE)-VLOOKUP($B22,'Tarifas e Resoluções'!$B$5:$M$44,4,FALSE))*0.5)+VLOOKUP($B22,'Tarifas e Resoluções'!$B$5:$M$44,4,FALSE)</f>
        <v>0.90621000000000007</v>
      </c>
      <c r="G22" s="16">
        <f>F22/(1-E22)/(1-D22)+((VLOOKUP($B22,'Tarifas e Resoluções'!$B$5:$M$44,2,FALSE)-F22)/(1-E22)/(1-D22)-(VLOOKUP($B22,'Tarifas e Resoluções'!$B$5:$M$44,2,FALSE)-F22))</f>
        <v>1.3603355041217502</v>
      </c>
      <c r="H22" s="17">
        <f>IF(VLOOKUP($B22,'Tarifas e Resoluções'!$B$5:$M$44,7,FALSE)="","",((VLOOKUP($B22,'Tarifas e Resoluções'!$B$5:$M$44,7,FALSE)-VLOOKUP($B22,'Tarifas e Resoluções'!$B$5:$M$44,9,FALSE))*0.5)+VLOOKUP($B22,'Tarifas e Resoluções'!$B$5:$M$44,9,FALSE))</f>
        <v>0.99633499999999997</v>
      </c>
      <c r="I22" s="18">
        <f>IFERROR(H22/(1-E22)/(1-D22)+((VLOOKUP($B22,'Tarifas e Resoluções'!$B$5:$M$44,7,FALSE)-H22)/(1-E22)/(1-D22)-(VLOOKUP($B22,'Tarifas e Resoluções'!$B$5:$M$44,7,FALSE)-H22)),"")</f>
        <v>1.4885117279644899</v>
      </c>
      <c r="J22" s="19">
        <f t="shared" si="0"/>
        <v>9.4223978904007133E-2</v>
      </c>
      <c r="L22" s="21" t="str">
        <f>VLOOKUP(N22,Rascunho!$I$4:$K$43,2,FALSE)</f>
        <v>Energisa MT (EMT)</v>
      </c>
      <c r="M22" s="22" t="str">
        <f>VLOOKUP(N22,Rascunho!$I$4:$K$43,3,FALSE)</f>
        <v>MT</v>
      </c>
      <c r="N22" s="23">
        <f>LARGE(Rascunho!$I$4:$I$43,17)</f>
        <v>1.4719159543436908</v>
      </c>
    </row>
    <row r="23" spans="2:15" ht="15">
      <c r="B23" s="12" t="str">
        <f>'Tarifas e Resoluções'!B22</f>
        <v>Equatorial GO</v>
      </c>
      <c r="C23" s="2" t="s">
        <v>136</v>
      </c>
      <c r="D23" s="13">
        <f>VLOOKUP(C23,Rascunho!$B$3:$C$29,2,FALSE)</f>
        <v>0.19</v>
      </c>
      <c r="E23" s="14">
        <f t="shared" si="2"/>
        <v>0.05</v>
      </c>
      <c r="F23" s="15">
        <f>((VLOOKUP($B23,'Tarifas e Resoluções'!$B$5:$M$44,2,FALSE)-VLOOKUP($B23,'Tarifas e Resoluções'!$B$5:$M$44,4,FALSE))*0.5)+VLOOKUP($B23,'Tarifas e Resoluções'!$B$5:$M$44,4,FALSE)</f>
        <v>0.90288500000000005</v>
      </c>
      <c r="G23" s="16">
        <f>F23/(1-E23)/(1-D23)+((VLOOKUP($B23,'Tarifas e Resoluções'!$B$5:$M$44,2,FALSE)-F23)/(1-E23)/(1-D23)-(VLOOKUP($B23,'Tarifas e Resoluções'!$B$5:$M$44,2,FALSE)-F23))</f>
        <v>1.3989797108512021</v>
      </c>
      <c r="H23" s="17" t="str">
        <f>IF(VLOOKUP($B23,'Tarifas e Resoluções'!$B$5:$M$44,7,FALSE)="","",((VLOOKUP($B23,'Tarifas e Resoluções'!$B$5:$M$44,7,FALSE)-VLOOKUP($B23,'Tarifas e Resoluções'!$B$5:$M$44,9,FALSE))*0.5)+VLOOKUP($B23,'Tarifas e Resoluções'!$B$5:$M$44,9,FALSE))</f>
        <v/>
      </c>
      <c r="I23" s="18" t="str">
        <f>IFERROR(H23/(1-E23)/(1-D23)+((VLOOKUP($B23,'Tarifas e Resoluções'!$B$5:$M$44,7,FALSE)-H23)/(1-E23)/(1-D23)-(VLOOKUP($B23,'Tarifas e Resoluções'!$B$5:$M$44,7,FALSE)-H23)),"")</f>
        <v/>
      </c>
      <c r="J23" s="19" t="str">
        <f t="shared" si="0"/>
        <v/>
      </c>
      <c r="L23" s="21" t="str">
        <f>VLOOKUP(N23,Rascunho!$I$4:$K$43,2,FALSE)</f>
        <v>SULGIPE</v>
      </c>
      <c r="M23" s="22" t="str">
        <f>VLOOKUP(N23,Rascunho!$I$4:$K$43,3,FALSE)</f>
        <v>SE</v>
      </c>
      <c r="N23" s="23">
        <f>LARGE(Rascunho!$I$4:$I$43,18)</f>
        <v>1.4633276315789485</v>
      </c>
    </row>
    <row r="24" spans="2:15" ht="15">
      <c r="B24" s="12" t="str">
        <f>'Tarifas e Resoluções'!B23</f>
        <v>Neoenergia RN (COSERN)</v>
      </c>
      <c r="C24" s="2" t="s">
        <v>137</v>
      </c>
      <c r="D24" s="13">
        <f>VLOOKUP(C24,Rascunho!$B$3:$C$29,2,FALSE)</f>
        <v>0.18</v>
      </c>
      <c r="E24" s="14">
        <f t="shared" si="2"/>
        <v>0.05</v>
      </c>
      <c r="F24" s="15">
        <f>((VLOOKUP($B24,'Tarifas e Resoluções'!$B$5:$M$44,2,FALSE)-VLOOKUP($B24,'Tarifas e Resoluções'!$B$5:$M$44,4,FALSE))*0.5)+VLOOKUP($B24,'Tarifas e Resoluções'!$B$5:$M$44,4,FALSE)</f>
        <v>0.97968499999999992</v>
      </c>
      <c r="G24" s="16">
        <f>F24/(1-E24)/(1-D24)+((VLOOKUP($B24,'Tarifas e Resoluções'!$B$5:$M$44,2,FALSE)-F24)/(1-E24)/(1-D24)-(VLOOKUP($B24,'Tarifas e Resoluções'!$B$5:$M$44,2,FALSE)-F24))</f>
        <v>1.5095771822849806</v>
      </c>
      <c r="H24" s="17">
        <f>IF(VLOOKUP($B24,'Tarifas e Resoluções'!$B$5:$M$44,7,FALSE)="","",((VLOOKUP($B24,'Tarifas e Resoluções'!$B$5:$M$44,7,FALSE)-VLOOKUP($B24,'Tarifas e Resoluções'!$B$5:$M$44,9,FALSE))*0.5)+VLOOKUP($B24,'Tarifas e Resoluções'!$B$5:$M$44,9,FALSE))</f>
        <v>1.0634399999999999</v>
      </c>
      <c r="I24" s="18">
        <f>IFERROR(H24/(1-E24)/(1-D24)+((VLOOKUP($B24,'Tarifas e Resoluções'!$B$5:$M$44,7,FALSE)-H24)/(1-E24)/(1-D24)-(VLOOKUP($B24,'Tarifas e Resoluções'!$B$5:$M$44,7,FALSE)-H24)),"")</f>
        <v>1.6335831193838251</v>
      </c>
      <c r="J24" s="19">
        <f t="shared" si="0"/>
        <v>8.2146139034204424E-2</v>
      </c>
      <c r="L24" s="21" t="str">
        <f>VLOOKUP(N24,Rascunho!$I$4:$K$43,2,FALSE)</f>
        <v>Energisa SE (ESE)</v>
      </c>
      <c r="M24" s="22" t="str">
        <f>VLOOKUP(N24,Rascunho!$I$4:$K$43,3,FALSE)</f>
        <v>SE</v>
      </c>
      <c r="N24" s="23">
        <f>LARGE(Rascunho!$I$4:$I$43,19)</f>
        <v>1.4633276315789474</v>
      </c>
    </row>
    <row r="25" spans="2:15" ht="15">
      <c r="B25" s="12" t="str">
        <f>'Tarifas e Resoluções'!B24</f>
        <v>CELESC</v>
      </c>
      <c r="C25" s="2" t="s">
        <v>138</v>
      </c>
      <c r="D25" s="13">
        <f>VLOOKUP(C25,Rascunho!$B$3:$C$29,2,FALSE)</f>
        <v>0.17</v>
      </c>
      <c r="E25" s="14">
        <f t="shared" si="2"/>
        <v>0.05</v>
      </c>
      <c r="F25" s="15">
        <f>((VLOOKUP($B25,'Tarifas e Resoluções'!$B$5:$M$44,2,FALSE)-VLOOKUP($B25,'Tarifas e Resoluções'!$B$5:$M$44,4,FALSE))*0.5)+VLOOKUP($B25,'Tarifas e Resoluções'!$B$5:$M$44,4,FALSE)</f>
        <v>0.60687999999999998</v>
      </c>
      <c r="G25" s="16">
        <f>F25/(1-E25)/(1-D25)+((VLOOKUP($B25,'Tarifas e Resoluções'!$B$5:$M$44,2,FALSE)-F25)/(1-E25)/(1-D25)-(VLOOKUP($B25,'Tarifas e Resoluções'!$B$5:$M$44,2,FALSE)-F25))</f>
        <v>0.8937287190868739</v>
      </c>
      <c r="H25" s="17">
        <f>IF(VLOOKUP($B25,'Tarifas e Resoluções'!$B$5:$M$44,7,FALSE)="","",((VLOOKUP($B25,'Tarifas e Resoluções'!$B$5:$M$44,7,FALSE)-VLOOKUP($B25,'Tarifas e Resoluções'!$B$5:$M$44,9,FALSE))*0.5)+VLOOKUP($B25,'Tarifas e Resoluções'!$B$5:$M$44,9,FALSE))</f>
        <v>0.68021500000000001</v>
      </c>
      <c r="I25" s="18">
        <f>IFERROR(H25/(1-E25)/(1-D25)+((VLOOKUP($B25,'Tarifas e Resoluções'!$B$5:$M$44,7,FALSE)-H25)/(1-E25)/(1-D25)-(VLOOKUP($B25,'Tarifas e Resoluções'!$B$5:$M$44,7,FALSE)-H25)),"")</f>
        <v>0.99920581800887776</v>
      </c>
      <c r="J25" s="19">
        <f t="shared" si="0"/>
        <v>0.11801914458983731</v>
      </c>
      <c r="L25" s="21" t="str">
        <f>VLOOKUP(N25,Rascunho!$I$4:$K$43,2,FALSE)</f>
        <v>Neoenergia Elektro (ELEKTRO)</v>
      </c>
      <c r="M25" s="22" t="str">
        <f>VLOOKUP(N25,Rascunho!$I$4:$K$43,3,FALSE)</f>
        <v>SP</v>
      </c>
      <c r="N25" s="23">
        <f>LARGE(Rascunho!$I$4:$I$43,20)</f>
        <v>1.4239402952503206</v>
      </c>
    </row>
    <row r="26" spans="2:15" ht="15">
      <c r="B26" s="12" t="str">
        <f>'Tarifas e Resoluções'!B25</f>
        <v>Roraima Energia (Boa Vista)</v>
      </c>
      <c r="C26" s="2" t="s">
        <v>139</v>
      </c>
      <c r="D26" s="13">
        <f>VLOOKUP(C26,Rascunho!$B$3:$C$29,2,FALSE)</f>
        <v>0.2</v>
      </c>
      <c r="E26" s="14">
        <f t="shared" si="2"/>
        <v>0.05</v>
      </c>
      <c r="F26" s="15">
        <f>((VLOOKUP($B26,'Tarifas e Resoluções'!$B$5:$M$44,2,FALSE)-VLOOKUP($B26,'Tarifas e Resoluções'!$B$5:$M$44,4,FALSE))*0.5)+VLOOKUP($B26,'Tarifas e Resoluções'!$B$5:$M$44,4,FALSE)</f>
        <v>0.68244999999999989</v>
      </c>
      <c r="G26" s="16">
        <f>F26/(1-E26)/(1-D26)+((VLOOKUP($B26,'Tarifas e Resoluções'!$B$5:$M$44,2,FALSE)-F26)/(1-E26)/(1-D26)-(VLOOKUP($B26,'Tarifas e Resoluções'!$B$5:$M$44,2,FALSE)-F26))</f>
        <v>1.0823942105263158</v>
      </c>
      <c r="H26" s="17">
        <f>IF(VLOOKUP($B26,'Tarifas e Resoluções'!$B$5:$M$44,7,FALSE)="","",((VLOOKUP($B26,'Tarifas e Resoluções'!$B$5:$M$44,7,FALSE)-VLOOKUP($B26,'Tarifas e Resoluções'!$B$5:$M$44,9,FALSE))*0.5)+VLOOKUP($B26,'Tarifas e Resoluções'!$B$5:$M$44,9,FALSE))</f>
        <v>0.88077499999999997</v>
      </c>
      <c r="I26" s="18">
        <f>IFERROR(H26/(1-E26)/(1-D26)+((VLOOKUP($B26,'Tarifas e Resoluções'!$B$5:$M$44,7,FALSE)-H26)/(1-E26)/(1-D26)-(VLOOKUP($B26,'Tarifas e Resoluções'!$B$5:$M$44,7,FALSE)-H26)),"")</f>
        <v>1.3882360526315789</v>
      </c>
      <c r="J26" s="19">
        <f t="shared" si="0"/>
        <v>0.28256049333130395</v>
      </c>
      <c r="L26" s="21" t="str">
        <f>VLOOKUP(N26,Rascunho!$I$4:$K$43,2,FALSE)</f>
        <v>CHESP</v>
      </c>
      <c r="M26" s="22" t="str">
        <f>VLOOKUP(N26,Rascunho!$I$4:$K$43,3,FALSE)</f>
        <v>GO</v>
      </c>
      <c r="N26" s="23">
        <f>LARGE(Rascunho!$I$4:$I$43,21)</f>
        <v>1.3989797108512032</v>
      </c>
    </row>
    <row r="27" spans="2:15" ht="15">
      <c r="B27" s="12" t="str">
        <f>'Tarifas e Resoluções'!B26</f>
        <v>Neoenergia Elektro (ELEKTRO)</v>
      </c>
      <c r="C27" s="2" t="s">
        <v>140</v>
      </c>
      <c r="D27" s="13">
        <f>VLOOKUP(C27,Rascunho!$B$3:$C$29,2,FALSE)</f>
        <v>0.18</v>
      </c>
      <c r="E27" s="14">
        <f t="shared" si="2"/>
        <v>0.05</v>
      </c>
      <c r="F27" s="15">
        <f>((VLOOKUP($B27,'Tarifas e Resoluções'!$B$5:$M$44,2,FALSE)-VLOOKUP($B27,'Tarifas e Resoluções'!$B$5:$M$44,4,FALSE))*0.5)+VLOOKUP($B27,'Tarifas e Resoluções'!$B$5:$M$44,4,FALSE)</f>
        <v>1.030805</v>
      </c>
      <c r="G27" s="16">
        <f>F27/(1-E27)/(1-D27)+((VLOOKUP($B27,'Tarifas e Resoluções'!$B$5:$M$44,2,FALSE)-F27)/(1-E27)/(1-D27)-(VLOOKUP($B27,'Tarifas e Resoluções'!$B$5:$M$44,2,FALSE)-F27))</f>
        <v>1.5763799550706032</v>
      </c>
      <c r="H27" s="17">
        <f>IF(VLOOKUP($B27,'Tarifas e Resoluções'!$B$5:$M$44,7,FALSE)="","",((VLOOKUP($B27,'Tarifas e Resoluções'!$B$5:$M$44,7,FALSE)-VLOOKUP($B27,'Tarifas e Resoluções'!$B$5:$M$44,9,FALSE))*0.5)+VLOOKUP($B27,'Tarifas e Resoluções'!$B$5:$M$44,9,FALSE))</f>
        <v>0.93958999999999993</v>
      </c>
      <c r="I27" s="18">
        <f>IFERROR(H27/(1-E27)/(1-D27)+((VLOOKUP($B27,'Tarifas e Resoluções'!$B$5:$M$44,7,FALSE)-H27)/(1-E27)/(1-D27)-(VLOOKUP($B27,'Tarifas e Resoluções'!$B$5:$M$44,7,FALSE)-H27)),"")</f>
        <v>1.4239402952503206</v>
      </c>
      <c r="J27" s="19">
        <f t="shared" si="0"/>
        <v>-9.6702358673074529E-2</v>
      </c>
      <c r="L27" s="21" t="str">
        <f>VLOOKUP(N27,Rascunho!$I$4:$K$43,2,FALSE)</f>
        <v>Equatorial GO</v>
      </c>
      <c r="M27" s="22" t="str">
        <f>VLOOKUP(N27,Rascunho!$I$4:$K$43,3,FALSE)</f>
        <v>GO</v>
      </c>
      <c r="N27" s="23">
        <f>LARGE(Rascunho!$I$4:$I$43,22)</f>
        <v>1.3989797108512021</v>
      </c>
    </row>
    <row r="28" spans="2:15" ht="15">
      <c r="B28" s="12" t="str">
        <f>'Tarifas e Resoluções'!B27</f>
        <v>COPEL</v>
      </c>
      <c r="C28" s="2" t="s">
        <v>134</v>
      </c>
      <c r="D28" s="13">
        <f>VLOOKUP(C28,Rascunho!$B$3:$C$29,2,FALSE)</f>
        <v>0.19500000000000001</v>
      </c>
      <c r="E28" s="14">
        <f t="shared" si="2"/>
        <v>0.05</v>
      </c>
      <c r="F28" s="15">
        <f>((VLOOKUP($B28,'Tarifas e Resoluções'!$B$5:$M$44,2,FALSE)-VLOOKUP($B28,'Tarifas e Resoluções'!$B$5:$M$44,4,FALSE))*0.5)+VLOOKUP($B28,'Tarifas e Resoluções'!$B$5:$M$44,4,FALSE)</f>
        <v>0.66623499999999991</v>
      </c>
      <c r="G28" s="16">
        <f>F28/(1-E28)/(1-D28)+((VLOOKUP($B28,'Tarifas e Resoluções'!$B$5:$M$44,2,FALSE)-F28)/(1-E28)/(1-D28)-(VLOOKUP($B28,'Tarifas e Resoluções'!$B$5:$M$44,2,FALSE)-F28))</f>
        <v>1.0389312929061787</v>
      </c>
      <c r="H28" s="17">
        <f>IF(VLOOKUP($B28,'Tarifas e Resoluções'!$B$5:$M$44,7,FALSE)="","",((VLOOKUP($B28,'Tarifas e Resoluções'!$B$5:$M$44,7,FALSE)-VLOOKUP($B28,'Tarifas e Resoluções'!$B$5:$M$44,9,FALSE))*0.5)+VLOOKUP($B28,'Tarifas e Resoluções'!$B$5:$M$44,9,FALSE))</f>
        <v>0.80498999999999998</v>
      </c>
      <c r="I28" s="18">
        <f>IFERROR(H28/(1-E28)/(1-D28)+((VLOOKUP($B28,'Tarifas e Resoluções'!$B$5:$M$44,7,FALSE)-H28)/(1-E28)/(1-D28)-(VLOOKUP($B28,'Tarifas e Resoluções'!$B$5:$M$44,7,FALSE)-H28)),"")</f>
        <v>1.25515344883949</v>
      </c>
      <c r="J28" s="19">
        <f t="shared" si="0"/>
        <v>0.2081197836754709</v>
      </c>
      <c r="L28" s="21" t="str">
        <f>VLOOKUP(N28,Rascunho!$I$4:$K$43,2,FALSE)</f>
        <v>Roraima Energia (Boa Vista)</v>
      </c>
      <c r="M28" s="22" t="str">
        <f>VLOOKUP(N28,Rascunho!$I$4:$K$43,3,FALSE)</f>
        <v>RR</v>
      </c>
      <c r="N28" s="23">
        <f>LARGE(Rascunho!$I$4:$I$43,23)</f>
        <v>1.3882360526315789</v>
      </c>
    </row>
    <row r="29" spans="2:15" ht="15">
      <c r="B29" s="12" t="str">
        <f>'Tarifas e Resoluções'!B28</f>
        <v>Enel CE</v>
      </c>
      <c r="C29" s="2" t="s">
        <v>141</v>
      </c>
      <c r="D29" s="13">
        <f>VLOOKUP(C29,Rascunho!$B$3:$C$29,2,FALSE)</f>
        <v>0.2</v>
      </c>
      <c r="E29" s="14">
        <f t="shared" si="2"/>
        <v>0.05</v>
      </c>
      <c r="F29" s="15">
        <f>((VLOOKUP($B29,'Tarifas e Resoluções'!$B$5:$M$44,2,FALSE)-VLOOKUP($B29,'Tarifas e Resoluções'!$B$5:$M$44,4,FALSE))*0.5)+VLOOKUP($B29,'Tarifas e Resoluções'!$B$5:$M$44,4,FALSE)</f>
        <v>0.62568000000000001</v>
      </c>
      <c r="G29" s="16">
        <f>F29/(1-E29)/(1-D29)+((VLOOKUP($B29,'Tarifas e Resoluções'!$B$5:$M$44,2,FALSE)-F29)/(1-E29)/(1-D29)-(VLOOKUP($B29,'Tarifas e Resoluções'!$B$5:$M$44,2,FALSE)-F29))</f>
        <v>0.99291157894736848</v>
      </c>
      <c r="H29" s="17">
        <f>IF(VLOOKUP($B29,'Tarifas e Resoluções'!$B$5:$M$44,7,FALSE)="","",((VLOOKUP($B29,'Tarifas e Resoluções'!$B$5:$M$44,7,FALSE)-VLOOKUP($B29,'Tarifas e Resoluções'!$B$5:$M$44,9,FALSE))*0.5)+VLOOKUP($B29,'Tarifas e Resoluções'!$B$5:$M$44,9,FALSE))</f>
        <v>0.62931499999999996</v>
      </c>
      <c r="I29" s="18">
        <f>IFERROR(H29/(1-E29)/(1-D29)+((VLOOKUP($B29,'Tarifas e Resoluções'!$B$5:$M$44,7,FALSE)-H29)/(1-E29)/(1-D29)-(VLOOKUP($B29,'Tarifas e Resoluções'!$B$5:$M$44,7,FALSE)-H29)),"")</f>
        <v>0.9876634210526315</v>
      </c>
      <c r="J29" s="19">
        <f t="shared" si="0"/>
        <v>-5.2856246276237195E-3</v>
      </c>
      <c r="L29" s="21" t="str">
        <f>VLOOKUP(N29,Rascunho!$I$4:$K$43,2,FALSE)</f>
        <v>CEEE Equatorial</v>
      </c>
      <c r="M29" s="22" t="str">
        <f>VLOOKUP(N29,Rascunho!$I$4:$K$43,3,FALSE)</f>
        <v>RS</v>
      </c>
      <c r="N29" s="23">
        <f>LARGE(Rascunho!$I$4:$I$43,24)</f>
        <v>1.3539113157894738</v>
      </c>
    </row>
    <row r="30" spans="2:15" ht="15">
      <c r="B30" s="12" t="str">
        <f>'Tarifas e Resoluções'!B29</f>
        <v>Energisa SE (ESE)</v>
      </c>
      <c r="C30" s="2" t="s">
        <v>127</v>
      </c>
      <c r="D30" s="13">
        <f>VLOOKUP(C30,Rascunho!$B$3:$C$29,2,FALSE)</f>
        <v>0.2</v>
      </c>
      <c r="E30" s="14">
        <f t="shared" si="2"/>
        <v>0.05</v>
      </c>
      <c r="F30" s="15">
        <f>((VLOOKUP($B30,'Tarifas e Resoluções'!$B$5:$M$44,2,FALSE)-VLOOKUP($B30,'Tarifas e Resoluções'!$B$5:$M$44,4,FALSE))*0.5)+VLOOKUP($B30,'Tarifas e Resoluções'!$B$5:$M$44,4,FALSE)</f>
        <v>0.89393499999999992</v>
      </c>
      <c r="G30" s="16">
        <f>F30/(1-E30)/(1-D30)+((VLOOKUP($B30,'Tarifas e Resoluções'!$B$5:$M$44,2,FALSE)-F30)/(1-E30)/(1-D30)-(VLOOKUP($B30,'Tarifas e Resoluções'!$B$5:$M$44,2,FALSE)-F30))</f>
        <v>1.4317055263157894</v>
      </c>
      <c r="H30" s="17">
        <f>IF(VLOOKUP($B30,'Tarifas e Resoluções'!$B$5:$M$44,7,FALSE)="","",((VLOOKUP($B30,'Tarifas e Resoluções'!$B$5:$M$44,7,FALSE)-VLOOKUP($B30,'Tarifas e Resoluções'!$B$5:$M$44,9,FALSE))*0.5)+VLOOKUP($B30,'Tarifas e Resoluções'!$B$5:$M$44,9,FALSE))</f>
        <v>0.92055500000000001</v>
      </c>
      <c r="I30" s="18">
        <f>IFERROR(H30/(1-E30)/(1-D30)+((VLOOKUP($B30,'Tarifas e Resoluções'!$B$5:$M$44,7,FALSE)-H30)/(1-E30)/(1-D30)-(VLOOKUP($B30,'Tarifas e Resoluções'!$B$5:$M$44,7,FALSE)-H30)),"")</f>
        <v>1.4633276315789474</v>
      </c>
      <c r="J30" s="19">
        <f t="shared" si="0"/>
        <v>2.2087017673621201E-2</v>
      </c>
      <c r="L30" s="21" t="str">
        <f>VLOOKUP(N30,Rascunho!$I$4:$K$43,2,FALSE)</f>
        <v>COPEL</v>
      </c>
      <c r="M30" s="22" t="str">
        <f>VLOOKUP(N30,Rascunho!$I$4:$K$43,3,FALSE)</f>
        <v>PR</v>
      </c>
      <c r="N30" s="23">
        <f>LARGE(Rascunho!$I$4:$I$43,25)</f>
        <v>1.25515344883949</v>
      </c>
    </row>
    <row r="31" spans="2:15" ht="15">
      <c r="B31" s="12" t="str">
        <f>'Tarifas e Resoluções'!B30</f>
        <v>CEEE Equatorial</v>
      </c>
      <c r="C31" s="2" t="s">
        <v>135</v>
      </c>
      <c r="D31" s="13">
        <f>VLOOKUP(C31,Rascunho!$B$3:$C$29,2,FALSE)</f>
        <v>0.17</v>
      </c>
      <c r="E31" s="14">
        <f t="shared" si="2"/>
        <v>0.05</v>
      </c>
      <c r="F31" s="15">
        <f>((VLOOKUP($B31,'Tarifas e Resoluções'!$B$5:$M$44,2,FALSE)-VLOOKUP($B31,'Tarifas e Resoluções'!$B$5:$M$44,4,FALSE))*0.5)+VLOOKUP($B31,'Tarifas e Resoluções'!$B$5:$M$44,4,FALSE)</f>
        <v>0.90753499999999998</v>
      </c>
      <c r="G31" s="16">
        <f>F31/(1-E31)/(1-D31)+((VLOOKUP($B31,'Tarifas e Resoluções'!$B$5:$M$44,2,FALSE)-F31)/(1-E31)/(1-D31)-(VLOOKUP($B31,'Tarifas e Resoluções'!$B$5:$M$44,2,FALSE)-F31))</f>
        <v>1.3539113157894738</v>
      </c>
      <c r="H31" s="17" t="str">
        <f>IF(VLOOKUP($B31,'Tarifas e Resoluções'!$B$5:$M$44,7,FALSE)="","",((VLOOKUP($B31,'Tarifas e Resoluções'!$B$5:$M$44,7,FALSE)-VLOOKUP($B31,'Tarifas e Resoluções'!$B$5:$M$44,9,FALSE))*0.5)+VLOOKUP($B31,'Tarifas e Resoluções'!$B$5:$M$44,9,FALSE))</f>
        <v/>
      </c>
      <c r="I31" s="18" t="str">
        <f>IFERROR(H31/(1-E31)/(1-D31)+((VLOOKUP($B31,'Tarifas e Resoluções'!$B$5:$M$44,7,FALSE)-H31)/(1-E31)/(1-D31)-(VLOOKUP($B31,'Tarifas e Resoluções'!$B$5:$M$44,7,FALSE)-H31)),"")</f>
        <v/>
      </c>
      <c r="J31" s="19" t="str">
        <f t="shared" si="0"/>
        <v/>
      </c>
      <c r="L31" s="21" t="str">
        <f>VLOOKUP(N31,Rascunho!$I$4:$K$43,2,FALSE)</f>
        <v>COCEL</v>
      </c>
      <c r="M31" s="22" t="str">
        <f>VLOOKUP(N31,Rascunho!$I$4:$K$43,3,FALSE)</f>
        <v>PR</v>
      </c>
      <c r="N31" s="23">
        <f>LARGE(Rascunho!$I$4:$I$43,26)</f>
        <v>1.1906711261850282</v>
      </c>
    </row>
    <row r="32" spans="2:15" ht="15">
      <c r="B32" s="12" t="str">
        <f>'Tarifas e Resoluções'!B31</f>
        <v>CPFL Paulista</v>
      </c>
      <c r="C32" s="2" t="s">
        <v>140</v>
      </c>
      <c r="D32" s="13">
        <f>VLOOKUP(C32,Rascunho!$B$3:$C$29,2,FALSE)</f>
        <v>0.18</v>
      </c>
      <c r="E32" s="14">
        <f t="shared" si="2"/>
        <v>0.05</v>
      </c>
      <c r="F32" s="15">
        <f>((VLOOKUP($B32,'Tarifas e Resoluções'!$B$5:$M$44,2,FALSE)-VLOOKUP($B32,'Tarifas e Resoluções'!$B$5:$M$44,4,FALSE))*0.5)+VLOOKUP($B32,'Tarifas e Resoluções'!$B$5:$M$44,4,FALSE)</f>
        <v>0.70452999999999988</v>
      </c>
      <c r="G32" s="16">
        <f>F32/(1-E32)/(1-D32)+((VLOOKUP($B32,'Tarifas e Resoluções'!$B$5:$M$44,2,FALSE)-F32)/(1-E32)/(1-D32)-(VLOOKUP($B32,'Tarifas e Resoluções'!$B$5:$M$44,2,FALSE)-F32))</f>
        <v>1.0718013607188701</v>
      </c>
      <c r="H32" s="17">
        <f>IF(VLOOKUP($B32,'Tarifas e Resoluções'!$B$5:$M$44,7,FALSE)="","",((VLOOKUP($B32,'Tarifas e Resoluções'!$B$5:$M$44,7,FALSE)-VLOOKUP($B32,'Tarifas e Resoluções'!$B$5:$M$44,9,FALSE))*0.5)+VLOOKUP($B32,'Tarifas e Resoluções'!$B$5:$M$44,9,FALSE))</f>
        <v>0.7578649999999999</v>
      </c>
      <c r="I32" s="18">
        <f>IFERROR(H32/(1-E32)/(1-D32)+((VLOOKUP($B32,'Tarifas e Resoluções'!$B$5:$M$44,7,FALSE)-H32)/(1-E32)/(1-D32)-(VLOOKUP($B32,'Tarifas e Resoluções'!$B$5:$M$44,7,FALSE)-H32)),"")</f>
        <v>1.1413014184852373</v>
      </c>
      <c r="J32" s="19">
        <f t="shared" si="0"/>
        <v>6.4844158921157469E-2</v>
      </c>
      <c r="L32" s="21" t="str">
        <f>VLOOKUP(N32,Rascunho!$I$4:$K$43,2,FALSE)</f>
        <v>EDP ES</v>
      </c>
      <c r="M32" s="22" t="str">
        <f>VLOOKUP(N32,Rascunho!$I$4:$K$43,3,FALSE)</f>
        <v>ES</v>
      </c>
      <c r="N32" s="23">
        <f>LARGE(Rascunho!$I$4:$I$43,27)</f>
        <v>1.1723268294229552</v>
      </c>
    </row>
    <row r="33" spans="2:14" ht="15">
      <c r="B33" s="12" t="str">
        <f>'Tarifas e Resoluções'!B32</f>
        <v>CPFL Piratininga</v>
      </c>
      <c r="C33" s="2" t="s">
        <v>140</v>
      </c>
      <c r="D33" s="13">
        <f>VLOOKUP(C33,Rascunho!$B$3:$C$29,2,FALSE)</f>
        <v>0.18</v>
      </c>
      <c r="E33" s="14">
        <f t="shared" si="2"/>
        <v>0.05</v>
      </c>
      <c r="F33" s="15">
        <f>((VLOOKUP($B33,'Tarifas e Resoluções'!$B$5:$M$44,2,FALSE)-VLOOKUP($B33,'Tarifas e Resoluções'!$B$5:$M$44,4,FALSE))*0.5)+VLOOKUP($B33,'Tarifas e Resoluções'!$B$5:$M$44,4,FALSE)</f>
        <v>0.53644500000000006</v>
      </c>
      <c r="G33" s="16">
        <f>F33/(1-E33)/(1-D33)+((VLOOKUP($B33,'Tarifas e Resoluções'!$B$5:$M$44,2,FALSE)-F33)/(1-E33)/(1-D33)-(VLOOKUP($B33,'Tarifas e Resoluções'!$B$5:$M$44,2,FALSE)-F33))</f>
        <v>0.80422664313222081</v>
      </c>
      <c r="H33" s="17" t="str">
        <f>IF(VLOOKUP($B33,'Tarifas e Resoluções'!$B$5:$M$44,7,FALSE)="","",((VLOOKUP($B33,'Tarifas e Resoluções'!$B$5:$M$44,7,FALSE)-VLOOKUP($B33,'Tarifas e Resoluções'!$B$5:$M$44,9,FALSE))*0.5)+VLOOKUP($B33,'Tarifas e Resoluções'!$B$5:$M$44,9,FALSE))</f>
        <v/>
      </c>
      <c r="I33" s="18" t="str">
        <f>IFERROR(H33/(1-E33)/(1-D33)+((VLOOKUP($B33,'Tarifas e Resoluções'!$B$5:$M$44,7,FALSE)-H33)/(1-E33)/(1-D33)-(VLOOKUP($B33,'Tarifas e Resoluções'!$B$5:$M$44,7,FALSE)-H33)),"")</f>
        <v/>
      </c>
      <c r="J33" s="19" t="str">
        <f t="shared" si="0"/>
        <v/>
      </c>
      <c r="L33" s="21" t="str">
        <f>VLOOKUP(N33,Rascunho!$I$4:$K$43,2,FALSE)</f>
        <v>Energisa Sul-Sudeste (ESS)</v>
      </c>
      <c r="M33" s="22" t="str">
        <f>VLOOKUP(N33,Rascunho!$I$4:$K$43,3,FALSE)</f>
        <v>SP</v>
      </c>
      <c r="N33" s="23">
        <f>LARGE(Rascunho!$I$4:$I$43,28)</f>
        <v>1.1552976123234915</v>
      </c>
    </row>
    <row r="34" spans="2:14" ht="15">
      <c r="B34" s="12" t="str">
        <f>'Tarifas e Resoluções'!B33</f>
        <v>EDP SP</v>
      </c>
      <c r="C34" s="2" t="s">
        <v>140</v>
      </c>
      <c r="D34" s="13">
        <f>VLOOKUP(C34,Rascunho!$B$3:$C$29,2,FALSE)</f>
        <v>0.18</v>
      </c>
      <c r="E34" s="14">
        <f t="shared" si="2"/>
        <v>0.05</v>
      </c>
      <c r="F34" s="15">
        <f>((VLOOKUP($B34,'Tarifas e Resoluções'!$B$5:$M$44,2,FALSE)-VLOOKUP($B34,'Tarifas e Resoluções'!$B$5:$M$44,4,FALSE))*0.5)+VLOOKUP($B34,'Tarifas e Resoluções'!$B$5:$M$44,4,FALSE)</f>
        <v>0.73384000000000005</v>
      </c>
      <c r="G34" s="16">
        <f>F34/(1-E34)/(1-D34)+((VLOOKUP($B34,'Tarifas e Resoluções'!$B$5:$M$44,2,FALSE)-F34)/(1-E34)/(1-D34)-(VLOOKUP($B34,'Tarifas e Resoluções'!$B$5:$M$44,2,FALSE)-F34))</f>
        <v>1.1099173170731709</v>
      </c>
      <c r="H34" s="17" t="str">
        <f>IF(VLOOKUP($B34,'Tarifas e Resoluções'!$B$5:$M$44,7,FALSE)="","",((VLOOKUP($B34,'Tarifas e Resoluções'!$B$5:$M$44,7,FALSE)-VLOOKUP($B34,'Tarifas e Resoluções'!$B$5:$M$44,9,FALSE))*0.5)+VLOOKUP($B34,'Tarifas e Resoluções'!$B$5:$M$44,9,FALSE))</f>
        <v/>
      </c>
      <c r="I34" s="18" t="str">
        <f>IFERROR(H34/(1-E34)/(1-D34)+((VLOOKUP($B34,'Tarifas e Resoluções'!$B$5:$M$44,7,FALSE)-H34)/(1-E34)/(1-D34)-(VLOOKUP($B34,'Tarifas e Resoluções'!$B$5:$M$44,7,FALSE)-H34)),"")</f>
        <v/>
      </c>
      <c r="J34" s="19" t="str">
        <f t="shared" si="0"/>
        <v/>
      </c>
      <c r="L34" s="21" t="str">
        <f>VLOOKUP(N34,Rascunho!$I$4:$K$43,2,FALSE)</f>
        <v>CPFL Paulista</v>
      </c>
      <c r="M34" s="22" t="str">
        <f>VLOOKUP(N34,Rascunho!$I$4:$K$43,3,FALSE)</f>
        <v>SP</v>
      </c>
      <c r="N34" s="23">
        <f>LARGE(Rascunho!$I$4:$I$43,29)</f>
        <v>1.1413014184852373</v>
      </c>
    </row>
    <row r="35" spans="2:14" ht="15">
      <c r="B35" s="12" t="str">
        <f>'Tarifas e Resoluções'!B34</f>
        <v>Neoenergia Brasília (CEB)</v>
      </c>
      <c r="C35" s="2" t="s">
        <v>142</v>
      </c>
      <c r="D35" s="13">
        <f>VLOOKUP(C35,Rascunho!$B$3:$C$29,2,FALSE)</f>
        <v>0.2</v>
      </c>
      <c r="E35" s="14">
        <f t="shared" si="2"/>
        <v>0.05</v>
      </c>
      <c r="F35" s="15">
        <f>((VLOOKUP($B35,'Tarifas e Resoluções'!$B$5:$M$44,2,FALSE)-VLOOKUP($B35,'Tarifas e Resoluções'!$B$5:$M$44,4,FALSE))*0.5)+VLOOKUP($B35,'Tarifas e Resoluções'!$B$5:$M$44,4,FALSE)</f>
        <v>0.54747000000000001</v>
      </c>
      <c r="G35" s="16">
        <f>F35/(1-E35)/(1-D35)+((VLOOKUP($B35,'Tarifas e Resoluções'!$B$5:$M$44,2,FALSE)-F35)/(1-E35)/(1-D35)-(VLOOKUP($B35,'Tarifas e Resoluções'!$B$5:$M$44,2,FALSE)-F35))</f>
        <v>0.84037105263157896</v>
      </c>
      <c r="H35" s="17" t="str">
        <f>IF(VLOOKUP($B35,'Tarifas e Resoluções'!$B$5:$M$44,7,FALSE)="","",((VLOOKUP($B35,'Tarifas e Resoluções'!$B$5:$M$44,7,FALSE)-VLOOKUP($B35,'Tarifas e Resoluções'!$B$5:$M$44,9,FALSE))*0.5)+VLOOKUP($B35,'Tarifas e Resoluções'!$B$5:$M$44,9,FALSE))</f>
        <v/>
      </c>
      <c r="I35" s="18" t="str">
        <f>IFERROR(H35/(1-E35)/(1-D35)+((VLOOKUP($B35,'Tarifas e Resoluções'!$B$5:$M$44,7,FALSE)-H35)/(1-E35)/(1-D35)-(VLOOKUP($B35,'Tarifas e Resoluções'!$B$5:$M$44,7,FALSE)-H35)),"")</f>
        <v/>
      </c>
      <c r="J35" s="19" t="str">
        <f t="shared" si="0"/>
        <v/>
      </c>
      <c r="L35" s="21" t="str">
        <f>VLOOKUP(N35,Rascunho!$I$4:$K$43,2,FALSE)</f>
        <v>Amazonas Energia</v>
      </c>
      <c r="M35" s="22" t="str">
        <f>VLOOKUP(N35,Rascunho!$I$4:$K$43,3,FALSE)</f>
        <v>AM</v>
      </c>
      <c r="N35" s="23">
        <f>LARGE(Rascunho!$I$4:$I$43,30)</f>
        <v>1.1347378947368423</v>
      </c>
    </row>
    <row r="36" spans="2:14" ht="15">
      <c r="B36" s="12" t="str">
        <f>'Tarifas e Resoluções'!B35</f>
        <v>Enel RJ</v>
      </c>
      <c r="C36" s="2" t="s">
        <v>124</v>
      </c>
      <c r="D36" s="13">
        <f>VLOOKUP(C36,Rascunho!$B$3:$C$29,2,FALSE)</f>
        <v>0.22</v>
      </c>
      <c r="E36" s="14">
        <f t="shared" si="2"/>
        <v>0.05</v>
      </c>
      <c r="F36" s="15">
        <f>((VLOOKUP($B36,'Tarifas e Resoluções'!$B$5:$M$44,2,FALSE)-VLOOKUP($B36,'Tarifas e Resoluções'!$B$5:$M$44,4,FALSE))*0.5)+VLOOKUP($B36,'Tarifas e Resoluções'!$B$5:$M$44,4,FALSE)</f>
        <v>1.04203</v>
      </c>
      <c r="G36" s="16">
        <f>F36/(1-E36)/(1-D36)+((VLOOKUP($B36,'Tarifas e Resoluções'!$B$5:$M$44,2,FALSE)-F36)/(1-E36)/(1-D36)-(VLOOKUP($B36,'Tarifas e Resoluções'!$B$5:$M$44,2,FALSE)-F36))</f>
        <v>1.718037476383266</v>
      </c>
      <c r="H36" s="17">
        <f>IF(VLOOKUP($B36,'Tarifas e Resoluções'!$B$5:$M$44,7,FALSE)="","",((VLOOKUP($B36,'Tarifas e Resoluções'!$B$5:$M$44,7,FALSE)-VLOOKUP($B36,'Tarifas e Resoluções'!$B$5:$M$44,9,FALSE))*0.5)+VLOOKUP($B36,'Tarifas e Resoluções'!$B$5:$M$44,9,FALSE))</f>
        <v>1.140425</v>
      </c>
      <c r="I36" s="18">
        <f>IFERROR(H36/(1-E36)/(1-D36)+((VLOOKUP($B36,'Tarifas e Resoluções'!$B$5:$M$44,7,FALSE)-H36)/(1-E36)/(1-D36)-(VLOOKUP($B36,'Tarifas e Resoluções'!$B$5:$M$44,7,FALSE)-H36)),"")</f>
        <v>1.859504770580297</v>
      </c>
      <c r="J36" s="19">
        <f t="shared" si="0"/>
        <v>8.2342379687107448E-2</v>
      </c>
      <c r="L36" s="21" t="str">
        <f>VLOOKUP(N36,Rascunho!$I$4:$K$43,2,FALSE)</f>
        <v>Energisa PB (EPB)</v>
      </c>
      <c r="M36" s="22" t="str">
        <f>VLOOKUP(N36,Rascunho!$I$4:$K$43,3,FALSE)</f>
        <v>PB</v>
      </c>
      <c r="N36" s="23">
        <f>LARGE(Rascunho!$I$4:$I$43,31)</f>
        <v>1.1155468421052632</v>
      </c>
    </row>
    <row r="37" spans="2:14" ht="15">
      <c r="B37" s="12" t="str">
        <f>'Tarifas e Resoluções'!B36</f>
        <v>Enel SP (ELETROPAULO)</v>
      </c>
      <c r="C37" s="2" t="s">
        <v>140</v>
      </c>
      <c r="D37" s="13">
        <f>VLOOKUP(C37,Rascunho!$B$3:$C$29,2,FALSE)</f>
        <v>0.18</v>
      </c>
      <c r="E37" s="14">
        <f t="shared" si="2"/>
        <v>0.05</v>
      </c>
      <c r="F37" s="15">
        <f>((VLOOKUP($B37,'Tarifas e Resoluções'!$B$5:$M$44,2,FALSE)-VLOOKUP($B37,'Tarifas e Resoluções'!$B$5:$M$44,4,FALSE))*0.5)+VLOOKUP($B37,'Tarifas e Resoluções'!$B$5:$M$44,4,FALSE)</f>
        <v>0.48105999999999999</v>
      </c>
      <c r="G37" s="16">
        <f>F37/(1-E37)/(1-D37)+((VLOOKUP($B37,'Tarifas e Resoluções'!$B$5:$M$44,2,FALSE)-F37)/(1-E37)/(1-D37)-(VLOOKUP($B37,'Tarifas e Resoluções'!$B$5:$M$44,2,FALSE)-F37))</f>
        <v>0.71853428754813864</v>
      </c>
      <c r="H37" s="17">
        <f>IF(VLOOKUP($B37,'Tarifas e Resoluções'!$B$5:$M$44,7,FALSE)="","",((VLOOKUP($B37,'Tarifas e Resoluções'!$B$5:$M$44,7,FALSE)-VLOOKUP($B37,'Tarifas e Resoluções'!$B$5:$M$44,9,FALSE))*0.5)+VLOOKUP($B37,'Tarifas e Resoluções'!$B$5:$M$44,9,FALSE))</f>
        <v>0.53651499999999996</v>
      </c>
      <c r="I37" s="18">
        <f>IFERROR(H37/(1-E37)/(1-D37)+((VLOOKUP($B37,'Tarifas e Resoluções'!$B$5:$M$44,7,FALSE)-H37)/(1-E37)/(1-D37)-(VLOOKUP($B37,'Tarifas e Resoluções'!$B$5:$M$44,7,FALSE)-H37)),"")</f>
        <v>0.79819999358151472</v>
      </c>
      <c r="J37" s="19">
        <f t="shared" si="0"/>
        <v>0.11087251842249612</v>
      </c>
      <c r="L37" s="21" t="str">
        <f>VLOOKUP(N37,Rascunho!$I$4:$K$43,2,FALSE)</f>
        <v>EDP SP</v>
      </c>
      <c r="M37" s="22" t="str">
        <f>VLOOKUP(N37,Rascunho!$I$4:$K$43,3,FALSE)</f>
        <v>SP</v>
      </c>
      <c r="N37" s="23">
        <f>LARGE(Rascunho!$I$4:$I$43,32)</f>
        <v>1.1099173170731709</v>
      </c>
    </row>
    <row r="38" spans="2:14" ht="15">
      <c r="B38" s="12" t="str">
        <f>'Tarifas e Resoluções'!B37</f>
        <v>Amazonas Energia</v>
      </c>
      <c r="C38" s="2" t="s">
        <v>143</v>
      </c>
      <c r="D38" s="13">
        <f>VLOOKUP(C38,Rascunho!$B$3:$C$29,2,FALSE)</f>
        <v>0.2</v>
      </c>
      <c r="E38" s="14">
        <f t="shared" si="2"/>
        <v>0.05</v>
      </c>
      <c r="F38" s="15">
        <f>((VLOOKUP($B38,'Tarifas e Resoluções'!$B$5:$M$44,2,FALSE)-VLOOKUP($B38,'Tarifas e Resoluções'!$B$5:$M$44,4,FALSE))*0.5)+VLOOKUP($B38,'Tarifas e Resoluções'!$B$5:$M$44,4,FALSE)</f>
        <v>0.68318500000000004</v>
      </c>
      <c r="G38" s="16">
        <f>F38/(1-E38)/(1-D38)+((VLOOKUP($B38,'Tarifas e Resoluções'!$B$5:$M$44,2,FALSE)-F38)/(1-E38)/(1-D38)-(VLOOKUP($B38,'Tarifas e Resoluções'!$B$5:$M$44,2,FALSE)-F38))</f>
        <v>1.0620407894736843</v>
      </c>
      <c r="H38" s="17">
        <f>IF(VLOOKUP($B38,'Tarifas e Resoluções'!$B$5:$M$44,7,FALSE)="","",((VLOOKUP($B38,'Tarifas e Resoluções'!$B$5:$M$44,7,FALSE)-VLOOKUP($B38,'Tarifas e Resoluções'!$B$5:$M$44,9,FALSE))*0.5)+VLOOKUP($B38,'Tarifas e Resoluções'!$B$5:$M$44,9,FALSE))</f>
        <v>0.73990000000000011</v>
      </c>
      <c r="I38" s="18">
        <f>IFERROR(H38/(1-E38)/(1-D38)+((VLOOKUP($B38,'Tarifas e Resoluções'!$B$5:$M$44,7,FALSE)-H38)/(1-E38)/(1-D38)-(VLOOKUP($B38,'Tarifas e Resoluções'!$B$5:$M$44,7,FALSE)-H38)),"")</f>
        <v>1.1347378947368423</v>
      </c>
      <c r="J38" s="19">
        <f t="shared" si="0"/>
        <v>6.8450389084570462E-2</v>
      </c>
      <c r="L38" s="21" t="str">
        <f>VLOOKUP(N38,Rascunho!$I$4:$K$43,2,FALSE)</f>
        <v>LIGHT (LIGHT SESA)</v>
      </c>
      <c r="M38" s="22" t="str">
        <f>VLOOKUP(N38,Rascunho!$I$4:$K$43,3,FALSE)</f>
        <v>RJ</v>
      </c>
      <c r="N38" s="23">
        <f>LARGE(Rascunho!$I$4:$I$43,33)</f>
        <v>1.1068213832658569</v>
      </c>
    </row>
    <row r="39" spans="2:14" ht="15">
      <c r="B39" s="12" t="str">
        <f>'Tarifas e Resoluções'!B38</f>
        <v>Energisa Sul-Sudeste (ESS)</v>
      </c>
      <c r="C39" s="2" t="s">
        <v>140</v>
      </c>
      <c r="D39" s="13">
        <f>VLOOKUP(C39,Rascunho!$B$3:$C$29,2,FALSE)</f>
        <v>0.18</v>
      </c>
      <c r="E39" s="14">
        <f t="shared" si="2"/>
        <v>0.05</v>
      </c>
      <c r="F39" s="15">
        <f>((VLOOKUP($B39,'Tarifas e Resoluções'!$B$5:$M$44,2,FALSE)-VLOOKUP($B39,'Tarifas e Resoluções'!$B$5:$M$44,4,FALSE))*0.5)+VLOOKUP($B39,'Tarifas e Resoluções'!$B$5:$M$44,4,FALSE)</f>
        <v>0.68803499999999995</v>
      </c>
      <c r="G39" s="16">
        <f>F39/(1-E39)/(1-D39)+((VLOOKUP($B39,'Tarifas e Resoluções'!$B$5:$M$44,2,FALSE)-F39)/(1-E39)/(1-D39)-(VLOOKUP($B39,'Tarifas e Resoluções'!$B$5:$M$44,2,FALSE)-F39))</f>
        <v>1.0407555391527599</v>
      </c>
      <c r="H39" s="17">
        <f>IF(VLOOKUP($B39,'Tarifas e Resoluções'!$B$5:$M$44,7,FALSE)="","",((VLOOKUP($B39,'Tarifas e Resoluções'!$B$5:$M$44,7,FALSE)-VLOOKUP($B39,'Tarifas e Resoluções'!$B$5:$M$44,9,FALSE))*0.5)+VLOOKUP($B39,'Tarifas e Resoluções'!$B$5:$M$44,9,FALSE))</f>
        <v>0.7633899999999999</v>
      </c>
      <c r="I39" s="18">
        <f>IFERROR(H39/(1-E39)/(1-D39)+((VLOOKUP($B39,'Tarifas e Resoluções'!$B$5:$M$44,7,FALSE)-H39)/(1-E39)/(1-D39)-(VLOOKUP($B39,'Tarifas e Resoluções'!$B$5:$M$44,7,FALSE)-H39)),"")</f>
        <v>1.1552976123234915</v>
      </c>
      <c r="J39" s="19">
        <f t="shared" si="0"/>
        <v>0.11005665486438443</v>
      </c>
      <c r="L39" s="21" t="str">
        <f>VLOOKUP(N39,Rascunho!$I$4:$K$43,2,FALSE)</f>
        <v>FORCEL (Pacto Energia PR)</v>
      </c>
      <c r="M39" s="22" t="str">
        <f>VLOOKUP(N39,Rascunho!$I$4:$K$43,3,FALSE)</f>
        <v>PR</v>
      </c>
      <c r="N39" s="23">
        <f>LARGE(Rascunho!$I$4:$I$43,34)</f>
        <v>1.1060467620137304</v>
      </c>
    </row>
    <row r="40" spans="2:14" ht="15">
      <c r="B40" s="12" t="str">
        <f>'Tarifas e Resoluções'!B39</f>
        <v>Equatorial AP (CEA)</v>
      </c>
      <c r="C40" s="2" t="s">
        <v>144</v>
      </c>
      <c r="D40" s="13">
        <f>VLOOKUP(C40,Rascunho!$B$3:$C$29,2,FALSE)</f>
        <v>0.18</v>
      </c>
      <c r="E40" s="14">
        <f t="shared" si="2"/>
        <v>0.05</v>
      </c>
      <c r="F40" s="15">
        <f>((VLOOKUP($B40,'Tarifas e Resoluções'!$B$5:$M$44,2,FALSE)-VLOOKUP($B40,'Tarifas e Resoluções'!$B$5:$M$44,4,FALSE))*0.5)+VLOOKUP($B40,'Tarifas e Resoluções'!$B$5:$M$44,4,FALSE)</f>
        <v>1.2384649999999999</v>
      </c>
      <c r="G40" s="16">
        <f>F40/(1-E40)/(1-D40)+((VLOOKUP($B40,'Tarifas e Resoluções'!$B$5:$M$44,2,FALSE)-F40)/(1-E40)/(1-D40)-(VLOOKUP($B40,'Tarifas e Resoluções'!$B$5:$M$44,2,FALSE)-F40))</f>
        <v>1.886230468549422</v>
      </c>
      <c r="H40" s="17">
        <f>IF(VLOOKUP($B40,'Tarifas e Resoluções'!$B$5:$M$44,7,FALSE)="","",((VLOOKUP($B40,'Tarifas e Resoluções'!$B$5:$M$44,7,FALSE)-VLOOKUP($B40,'Tarifas e Resoluções'!$B$5:$M$44,9,FALSE))*0.5)+VLOOKUP($B40,'Tarifas e Resoluções'!$B$5:$M$44,9,FALSE))</f>
        <v>1.6322899999999998</v>
      </c>
      <c r="I40" s="18">
        <f>IFERROR(H40/(1-E40)/(1-D40)+((VLOOKUP($B40,'Tarifas e Resoluções'!$B$5:$M$44,7,FALSE)-H40)/(1-E40)/(1-D40)-(VLOOKUP($B40,'Tarifas e Resoluções'!$B$5:$M$44,7,FALSE)-H40)),"")</f>
        <v>2.4825867907573809</v>
      </c>
      <c r="J40" s="19">
        <f t="shared" si="0"/>
        <v>0.31616302045347511</v>
      </c>
      <c r="L40" s="21" t="str">
        <f>VLOOKUP(N40,Rascunho!$I$4:$K$43,2,FALSE)</f>
        <v>CELESC</v>
      </c>
      <c r="M40" s="22" t="str">
        <f>VLOOKUP(N40,Rascunho!$I$4:$K$43,3,FALSE)</f>
        <v>SC</v>
      </c>
      <c r="N40" s="23">
        <f>LARGE(Rascunho!$I$4:$I$43,35)</f>
        <v>0.99920581800887776</v>
      </c>
    </row>
    <row r="41" spans="2:14" ht="15">
      <c r="B41" s="12" t="str">
        <f>'Tarifas e Resoluções'!B40</f>
        <v>CHESP</v>
      </c>
      <c r="C41" s="2" t="s">
        <v>136</v>
      </c>
      <c r="D41" s="13">
        <f>VLOOKUP(C41,Rascunho!$B$3:$C$29,2,FALSE)</f>
        <v>0.19</v>
      </c>
      <c r="E41" s="14">
        <f t="shared" si="2"/>
        <v>0.05</v>
      </c>
      <c r="F41" s="15">
        <f>((VLOOKUP($B41,'Tarifas e Resoluções'!$B$5:$M$44,2,FALSE)-VLOOKUP($B41,'Tarifas e Resoluções'!$B$5:$M$44,4,FALSE))*0.5)+VLOOKUP($B41,'Tarifas e Resoluções'!$B$5:$M$44,4,FALSE)</f>
        <v>0.90288500000000005</v>
      </c>
      <c r="G41" s="16">
        <f>F41/(1-E41)/(1-D41)+((VLOOKUP($B41,'Tarifas e Resoluções'!$B$5:$M$44,2,FALSE)-F41)/(1-E41)/(1-D41)-(VLOOKUP($B41,'Tarifas e Resoluções'!$B$5:$M$44,2,FALSE)-F41))</f>
        <v>1.3989797108512021</v>
      </c>
      <c r="H41" s="17" t="str">
        <f>IF(VLOOKUP($B41,'Tarifas e Resoluções'!$B$5:$M$44,7,FALSE)="","",((VLOOKUP($B41,'Tarifas e Resoluções'!$B$5:$M$44,7,FALSE)-VLOOKUP($B41,'Tarifas e Resoluções'!$B$5:$M$44,9,FALSE))*0.5)+VLOOKUP($B41,'Tarifas e Resoluções'!$B$5:$M$44,9,FALSE))</f>
        <v/>
      </c>
      <c r="I41" s="18" t="str">
        <f>IFERROR(H41/(1-E41)/(1-D41)+((VLOOKUP($B41,'Tarifas e Resoluções'!$B$5:$M$44,7,FALSE)-H41)/(1-E41)/(1-D41)-(VLOOKUP($B41,'Tarifas e Resoluções'!$B$5:$M$44,7,FALSE)-H41)),"")</f>
        <v/>
      </c>
      <c r="J41" s="19" t="str">
        <f t="shared" si="0"/>
        <v/>
      </c>
      <c r="L41" s="21" t="str">
        <f>VLOOKUP(N41,Rascunho!$I$4:$K$43,2,FALSE)</f>
        <v>Neoenergia PE</v>
      </c>
      <c r="M41" s="22" t="str">
        <f>VLOOKUP(N41,Rascunho!$I$4:$K$43,3,FALSE)</f>
        <v>PE</v>
      </c>
      <c r="N41" s="23">
        <f>LARGE(Rascunho!$I$4:$I$43,36)</f>
        <v>0.99138962760675264</v>
      </c>
    </row>
    <row r="42" spans="2:14" ht="15">
      <c r="B42" s="12" t="str">
        <f>'Tarifas e Resoluções'!B41</f>
        <v>CPFL Santa Cruz</v>
      </c>
      <c r="C42" s="2" t="s">
        <v>140</v>
      </c>
      <c r="D42" s="13">
        <f>VLOOKUP(C42,Rascunho!$B$3:$C$29,2,FALSE)</f>
        <v>0.18</v>
      </c>
      <c r="E42" s="14">
        <f t="shared" si="2"/>
        <v>0.05</v>
      </c>
      <c r="F42" s="15">
        <f>((VLOOKUP($B42,'Tarifas e Resoluções'!$B$5:$M$44,2,FALSE)-VLOOKUP($B42,'Tarifas e Resoluções'!$B$5:$M$44,4,FALSE))*0.5)+VLOOKUP($B42,'Tarifas e Resoluções'!$B$5:$M$44,4,FALSE)</f>
        <v>0.81403999999999999</v>
      </c>
      <c r="G42" s="16">
        <f>F42/(1-E42)/(1-D42)+((VLOOKUP($B42,'Tarifas e Resoluções'!$B$5:$M$44,2,FALSE)-F42)/(1-E42)/(1-D42)-(VLOOKUP($B42,'Tarifas e Resoluções'!$B$5:$M$44,2,FALSE)-F42))</f>
        <v>1.2402494223363287</v>
      </c>
      <c r="H42" s="17">
        <f>IF(VLOOKUP($B42,'Tarifas e Resoluções'!$B$5:$M$44,7,FALSE)="","",((VLOOKUP($B42,'Tarifas e Resoluções'!$B$5:$M$44,7,FALSE)-VLOOKUP($B42,'Tarifas e Resoluções'!$B$5:$M$44,9,FALSE))*0.5)+VLOOKUP($B42,'Tarifas e Resoluções'!$B$5:$M$44,9,FALSE))</f>
        <v>0.99035499999999999</v>
      </c>
      <c r="I42" s="18">
        <f>IFERROR(H42/(1-E42)/(1-D42)+((VLOOKUP($B42,'Tarifas e Resoluções'!$B$5:$M$44,7,FALSE)-H42)/(1-E42)/(1-D42)-(VLOOKUP($B42,'Tarifas e Resoluções'!$B$5:$M$44,7,FALSE)-H42)),"")</f>
        <v>1.507304922978177</v>
      </c>
      <c r="J42" s="19">
        <f t="shared" si="0"/>
        <v>0.21532402743536894</v>
      </c>
      <c r="L42" s="21" t="str">
        <f>VLOOKUP(N42,Rascunho!$I$4:$K$43,2,FALSE)</f>
        <v>Enel CE</v>
      </c>
      <c r="M42" s="22" t="str">
        <f>VLOOKUP(N42,Rascunho!$I$4:$K$43,3,FALSE)</f>
        <v>CE</v>
      </c>
      <c r="N42" s="23">
        <f>LARGE(Rascunho!$I$4:$I$43,37)</f>
        <v>0.9876634210526315</v>
      </c>
    </row>
    <row r="43" spans="2:14" ht="15">
      <c r="B43" s="12" t="str">
        <f>'Tarifas e Resoluções'!B42</f>
        <v>Energisa Minas Rio (EMR)</v>
      </c>
      <c r="C43" s="2" t="s">
        <v>132</v>
      </c>
      <c r="D43" s="13">
        <f>VLOOKUP(C43,Rascunho!$B$3:$C$29,2,FALSE)</f>
        <v>0.18</v>
      </c>
      <c r="E43" s="14">
        <f t="shared" si="2"/>
        <v>0.05</v>
      </c>
      <c r="F43" s="15">
        <f>((VLOOKUP($B43,'Tarifas e Resoluções'!$B$5:$M$44,2,FALSE)-VLOOKUP($B43,'Tarifas e Resoluções'!$B$5:$M$44,4,FALSE))*0.5)+VLOOKUP($B43,'Tarifas e Resoluções'!$B$5:$M$44,4,FALSE)</f>
        <v>1.0965500000000001</v>
      </c>
      <c r="G43" s="16">
        <f>F43/(1-E43)/(1-D43)+((VLOOKUP($B43,'Tarifas e Resoluções'!$B$5:$M$44,2,FALSE)-F43)/(1-E43)/(1-D43)-(VLOOKUP($B43,'Tarifas e Resoluções'!$B$5:$M$44,2,FALSE)-F43))</f>
        <v>1.680004184852375</v>
      </c>
      <c r="H43" s="17">
        <f>IF(VLOOKUP($B43,'Tarifas e Resoluções'!$B$5:$M$44,7,FALSE)="","",((VLOOKUP($B43,'Tarifas e Resoluções'!$B$5:$M$44,7,FALSE)-VLOOKUP($B43,'Tarifas e Resoluções'!$B$5:$M$44,9,FALSE))*0.5)+VLOOKUP($B43,'Tarifas e Resoluções'!$B$5:$M$44,9,FALSE))</f>
        <v>1.049145</v>
      </c>
      <c r="I43" s="18">
        <f>IFERROR(H43/(1-E43)/(1-D43)+((VLOOKUP($B43,'Tarifas e Resoluções'!$B$5:$M$44,7,FALSE)-H43)/(1-E43)/(1-D43)-(VLOOKUP($B43,'Tarifas e Resoluções'!$B$5:$M$44,7,FALSE)-H43)),"")</f>
        <v>1.5998974261874195</v>
      </c>
      <c r="J43" s="19">
        <f t="shared" si="0"/>
        <v>-4.7682475667163104E-2</v>
      </c>
      <c r="L43" s="21" t="str">
        <f>VLOOKUP(N43,Rascunho!$I$4:$K$43,2,FALSE)</f>
        <v>Neoenergia Brasília (CEB)</v>
      </c>
      <c r="M43" s="22" t="str">
        <f>VLOOKUP(N43,Rascunho!$I$4:$K$43,3,FALSE)</f>
        <v>DF</v>
      </c>
      <c r="N43" s="23">
        <f>LARGE(Rascunho!$I$4:$I$43,38)</f>
        <v>0.84037105263157896</v>
      </c>
    </row>
    <row r="44" spans="2:14" ht="15">
      <c r="B44" s="12" t="str">
        <f>'Tarifas e Resoluções'!B43</f>
        <v>EDP ES</v>
      </c>
      <c r="C44" s="2" t="s">
        <v>145</v>
      </c>
      <c r="D44" s="13">
        <f>VLOOKUP(C44,Rascunho!$B$3:$C$29,2,FALSE)</f>
        <v>0.17</v>
      </c>
      <c r="E44" s="14">
        <f t="shared" si="2"/>
        <v>0.05</v>
      </c>
      <c r="F44" s="15">
        <f>((VLOOKUP($B44,'Tarifas e Resoluções'!$B$5:$M$44,2,FALSE)-VLOOKUP($B44,'Tarifas e Resoluções'!$B$5:$M$44,4,FALSE))*0.5)+VLOOKUP($B44,'Tarifas e Resoluções'!$B$5:$M$44,4,FALSE)</f>
        <v>0.74182000000000003</v>
      </c>
      <c r="G44" s="16">
        <f>F44/(1-E44)/(1-D44)+((VLOOKUP($B44,'Tarifas e Resoluções'!$B$5:$M$44,2,FALSE)-F44)/(1-E44)/(1-D44)-(VLOOKUP($B44,'Tarifas e Resoluções'!$B$5:$M$44,2,FALSE)-F44))</f>
        <v>1.096402365250476</v>
      </c>
      <c r="H44" s="17">
        <f>IF(VLOOKUP($B44,'Tarifas e Resoluções'!$B$5:$M$44,7,FALSE)="","",((VLOOKUP($B44,'Tarifas e Resoluções'!$B$5:$M$44,7,FALSE)-VLOOKUP($B44,'Tarifas e Resoluções'!$B$5:$M$44,9,FALSE))*0.5)+VLOOKUP($B44,'Tarifas e Resoluções'!$B$5:$M$44,9,FALSE))</f>
        <v>0.79480000000000006</v>
      </c>
      <c r="I44" s="18">
        <f>IFERROR(H44/(1-E44)/(1-D44)+((VLOOKUP($B44,'Tarifas e Resoluções'!$B$5:$M$44,7,FALSE)-H44)/(1-E44)/(1-D44)-(VLOOKUP($B44,'Tarifas e Resoluções'!$B$5:$M$44,7,FALSE)-H44)),"")</f>
        <v>1.1723268294229552</v>
      </c>
      <c r="J44" s="19">
        <f t="shared" si="0"/>
        <v>6.9248723442085991E-2</v>
      </c>
      <c r="L44" s="21" t="str">
        <f>VLOOKUP(N44,Rascunho!$I$4:$K$43,2,FALSE)</f>
        <v>CPFL Piratininga</v>
      </c>
      <c r="M44" s="22" t="str">
        <f>VLOOKUP(N44,Rascunho!$I$4:$K$43,3,FALSE)</f>
        <v>SP</v>
      </c>
      <c r="N44" s="23">
        <f>LARGE(Rascunho!$I$4:$I$43,39)</f>
        <v>0.80422664313222081</v>
      </c>
    </row>
    <row r="45" spans="2:14" ht="15">
      <c r="B45" s="24" t="str">
        <f>'Tarifas e Resoluções'!B44</f>
        <v>FORCEL (Pacto Energia PR)</v>
      </c>
      <c r="C45" s="25" t="s">
        <v>134</v>
      </c>
      <c r="D45" s="26">
        <f>VLOOKUP(C45,Rascunho!$B$3:$C$29,2,FALSE)</f>
        <v>0.19500000000000001</v>
      </c>
      <c r="E45" s="27">
        <f t="shared" si="2"/>
        <v>0.05</v>
      </c>
      <c r="F45" s="28">
        <f>((VLOOKUP($B45,'Tarifas e Resoluções'!$B$5:$M$44,2,FALSE)-VLOOKUP($B45,'Tarifas e Resoluções'!$B$5:$M$44,4,FALSE))*0.5)+VLOOKUP($B45,'Tarifas e Resoluções'!$B$5:$M$44,4,FALSE)</f>
        <v>0.70546500000000012</v>
      </c>
      <c r="G45" s="29">
        <f>F45/(1-E45)/(1-D45)+((VLOOKUP($B45,'Tarifas e Resoluções'!$B$5:$M$44,2,FALSE)-F45)/(1-E45)/(1-D45)-(VLOOKUP($B45,'Tarifas e Resoluções'!$B$5:$M$44,2,FALSE)-F45))</f>
        <v>1.1060467620137304</v>
      </c>
      <c r="H45" s="30" t="str">
        <f>IF(VLOOKUP($B45,'Tarifas e Resoluções'!$B$5:$M$44,7,FALSE)="","",((VLOOKUP($B45,'Tarifas e Resoluções'!$B$5:$M$44,7,FALSE)-VLOOKUP($B45,'Tarifas e Resoluções'!$B$5:$M$44,9,FALSE))*0.5)+VLOOKUP($B45,'Tarifas e Resoluções'!$B$5:$M$44,9,FALSE))</f>
        <v/>
      </c>
      <c r="I45" s="31" t="str">
        <f>IFERROR(H45/(1-E45)/(1-D45)+((VLOOKUP($B45,'Tarifas e Resoluções'!$B$5:$M$44,7,FALSE)-H45)/(1-E45)/(1-D45)-(VLOOKUP($B45,'Tarifas e Resoluções'!$B$5:$M$44,7,FALSE)-H45)),"")</f>
        <v/>
      </c>
      <c r="J45" s="32" t="str">
        <f t="shared" si="0"/>
        <v/>
      </c>
      <c r="L45" s="33" t="str">
        <f>VLOOKUP(N45,Rascunho!$I$4:$K$43,2,FALSE)</f>
        <v>Enel SP (ELETROPAULO)</v>
      </c>
      <c r="M45" s="34" t="str">
        <f>VLOOKUP(N45,Rascunho!$I$4:$K$43,3,FALSE)</f>
        <v>SP</v>
      </c>
      <c r="N45" s="35">
        <f>LARGE(Rascunho!$I$4:$I$43,40)</f>
        <v>0.79819999358151472</v>
      </c>
    </row>
    <row r="48" spans="2:14">
      <c r="F48" s="36"/>
      <c r="G48" s="36"/>
    </row>
    <row r="49" spans="6:7">
      <c r="F49" s="36"/>
      <c r="G49" s="36"/>
    </row>
    <row r="52" spans="6:7">
      <c r="F52" s="36"/>
      <c r="G52" s="36"/>
    </row>
    <row r="57" spans="6:7">
      <c r="F57" s="36"/>
      <c r="G57" s="36"/>
    </row>
  </sheetData>
  <mergeCells count="10">
    <mergeCell ref="L3:N4"/>
    <mergeCell ref="F3:G3"/>
    <mergeCell ref="H3:I3"/>
    <mergeCell ref="F4:G4"/>
    <mergeCell ref="H4:I4"/>
    <mergeCell ref="B3:B5"/>
    <mergeCell ref="C3:C5"/>
    <mergeCell ref="D3:D5"/>
    <mergeCell ref="E3:E5"/>
    <mergeCell ref="J3:J5"/>
  </mergeCells>
  <printOptions horizontalCentered="1"/>
  <pageMargins left="0.196850393700787" right="0.196850393700787" top="0.196850393700787" bottom="0.196850393700787" header="0.511811023622047" footer="0.511811023622047"/>
  <pageSetup paperSize="9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T56"/>
  <sheetViews>
    <sheetView showGridLines="0" topLeftCell="B1" zoomScaleSheetLayoutView="85" workbookViewId="0">
      <selection activeCell="R6" sqref="R6"/>
    </sheetView>
  </sheetViews>
  <sheetFormatPr defaultColWidth="9.140625" defaultRowHeight="12.75"/>
  <cols>
    <col min="1" max="1" width="2.5703125" customWidth="1"/>
    <col min="2" max="2" width="36.85546875" customWidth="1"/>
    <col min="3" max="3" width="7.42578125" style="1" customWidth="1"/>
    <col min="4" max="4" width="6.140625" customWidth="1"/>
    <col min="5" max="5" width="11.85546875" customWidth="1"/>
    <col min="6" max="9" width="11" customWidth="1"/>
    <col min="10" max="10" width="11"/>
    <col min="11" max="14" width="11" customWidth="1"/>
    <col min="17" max="17" width="3.5703125" customWidth="1"/>
    <col min="18" max="18" width="30.42578125" customWidth="1"/>
    <col min="19" max="19" width="7.42578125" style="1" customWidth="1"/>
    <col min="20" max="20" width="13" customWidth="1"/>
    <col min="22" max="22" width="12.85546875"/>
  </cols>
  <sheetData>
    <row r="2" spans="2:20" ht="15">
      <c r="B2" s="74" t="s">
        <v>0</v>
      </c>
      <c r="C2" s="76" t="s">
        <v>110</v>
      </c>
      <c r="D2" s="76" t="s">
        <v>111</v>
      </c>
      <c r="E2" s="78" t="s">
        <v>112</v>
      </c>
      <c r="F2" s="88" t="s">
        <v>1</v>
      </c>
      <c r="G2" s="89"/>
      <c r="H2" s="90" t="s">
        <v>2</v>
      </c>
      <c r="I2" s="91"/>
      <c r="J2" s="80" t="s">
        <v>23</v>
      </c>
      <c r="K2" s="88" t="s">
        <v>1</v>
      </c>
      <c r="L2" s="89"/>
      <c r="M2" s="90" t="s">
        <v>2</v>
      </c>
      <c r="N2" s="91"/>
      <c r="O2" s="80" t="s">
        <v>23</v>
      </c>
      <c r="R2" s="82" t="s">
        <v>149</v>
      </c>
      <c r="S2" s="83"/>
      <c r="T2" s="84"/>
    </row>
    <row r="3" spans="2:20" ht="15">
      <c r="B3" s="75"/>
      <c r="C3" s="77"/>
      <c r="D3" s="77"/>
      <c r="E3" s="79"/>
      <c r="F3" s="92" t="s">
        <v>150</v>
      </c>
      <c r="G3" s="93"/>
      <c r="H3" s="94" t="s">
        <v>150</v>
      </c>
      <c r="I3" s="95"/>
      <c r="J3" s="81"/>
      <c r="K3" s="92" t="s">
        <v>151</v>
      </c>
      <c r="L3" s="93"/>
      <c r="M3" s="94" t="s">
        <v>151</v>
      </c>
      <c r="N3" s="95"/>
      <c r="O3" s="81"/>
      <c r="R3" s="85"/>
      <c r="S3" s="86"/>
      <c r="T3" s="87"/>
    </row>
    <row r="4" spans="2:20" ht="15">
      <c r="B4" s="75"/>
      <c r="C4" s="77"/>
      <c r="D4" s="77"/>
      <c r="E4" s="79"/>
      <c r="F4" s="5" t="s">
        <v>115</v>
      </c>
      <c r="G4" s="6" t="s">
        <v>116</v>
      </c>
      <c r="H4" s="7" t="s">
        <v>115</v>
      </c>
      <c r="I4" s="8" t="s">
        <v>116</v>
      </c>
      <c r="J4" s="81"/>
      <c r="K4" s="5" t="s">
        <v>115</v>
      </c>
      <c r="L4" s="6" t="s">
        <v>116</v>
      </c>
      <c r="M4" s="7" t="s">
        <v>115</v>
      </c>
      <c r="N4" s="8" t="s">
        <v>116</v>
      </c>
      <c r="O4" s="81"/>
      <c r="R4" s="9" t="s">
        <v>117</v>
      </c>
      <c r="S4" s="10" t="s">
        <v>110</v>
      </c>
      <c r="T4" s="11" t="s">
        <v>118</v>
      </c>
    </row>
    <row r="5" spans="2:20" ht="15">
      <c r="B5" s="12" t="str">
        <f>'Tarifas e Resoluções'!B5</f>
        <v>Equatorial PA</v>
      </c>
      <c r="C5" s="2" t="s">
        <v>119</v>
      </c>
      <c r="D5" s="13">
        <f>VLOOKUP(C5,Rascunho!$B$3:$C$29,2,FALSE)</f>
        <v>0.19</v>
      </c>
      <c r="E5" s="14">
        <v>0.05</v>
      </c>
      <c r="F5" s="15">
        <f>VLOOKUP($B5,'Tarifas e Resoluções'!$B$5:$M$44,3,FALSE)</f>
        <v>0.43857000000000002</v>
      </c>
      <c r="G5" s="16">
        <f>F5/(1-E5)/(1-D5)</f>
        <v>0.5699415204678363</v>
      </c>
      <c r="H5" s="17">
        <f>IF(VLOOKUP($B5,'Tarifas e Resoluções'!$B$5:$M$44,8,FALSE)="","",VLOOKUP($B5,'Tarifas e Resoluções'!$B$5:$M$44,8,FALSE))</f>
        <v>0.49130000000000001</v>
      </c>
      <c r="I5" s="18">
        <f>IFERROR(H5/(1-E5)/(1-D5),"")</f>
        <v>0.63846653671215081</v>
      </c>
      <c r="J5" s="19">
        <f t="shared" ref="J5:J44" si="0">IFERROR(I5/G5-1,"")</f>
        <v>0.12023166199238444</v>
      </c>
      <c r="K5" s="15">
        <f>VLOOKUP($B5,'Tarifas e Resoluções'!$B$5:$M$44,5,FALSE)</f>
        <v>0.26893</v>
      </c>
      <c r="L5" s="16">
        <f>K5/(1-E5)/(1-D5)</f>
        <v>0.34948667966211827</v>
      </c>
      <c r="M5" s="17">
        <f>IF(VLOOKUP($B5,'Tarifas e Resoluções'!$B$5:$M$44,10,FALSE)="","",VLOOKUP($B5,'Tarifas e Resoluções'!$B$5:$M$44,10,FALSE))</f>
        <v>0.28527999999999998</v>
      </c>
      <c r="N5" s="18">
        <f>IFERROR(M5/(1-E5)/(1-D5),"")</f>
        <v>0.37073424301494479</v>
      </c>
      <c r="O5" s="19">
        <f t="shared" ref="O5:O44" si="1">IFERROR(N5/L5-1,"")</f>
        <v>6.0796489792882991E-2</v>
      </c>
      <c r="Q5" s="20">
        <v>1</v>
      </c>
      <c r="R5" s="21" t="str">
        <f>VLOOKUP(T5,Rascunho!$M$4:$O$43,2,FALSE)</f>
        <v>Neoenergia Brasília (CEB)</v>
      </c>
      <c r="S5" s="22" t="str">
        <f>VLOOKUP(T5,Rascunho!$M$4:$O$43,3,FALSE)</f>
        <v>DF</v>
      </c>
      <c r="T5" s="23">
        <f>LARGE(Rascunho!$M$4:$M$43,1)</f>
        <v>0.52277289113193948</v>
      </c>
    </row>
    <row r="6" spans="2:20" ht="15">
      <c r="B6" s="12" t="str">
        <f>'Tarifas e Resoluções'!B6</f>
        <v>Energisa TO (ETO)</v>
      </c>
      <c r="C6" s="2" t="s">
        <v>120</v>
      </c>
      <c r="D6" s="13">
        <f>VLOOKUP(C6,Rascunho!$B$3:$C$29,2,FALSE)</f>
        <v>0.2</v>
      </c>
      <c r="E6" s="14">
        <f t="shared" ref="E6:E44" si="2">E5</f>
        <v>0.05</v>
      </c>
      <c r="F6" s="15">
        <f>VLOOKUP($B6,'Tarifas e Resoluções'!$B$5:$M$44,3,FALSE)</f>
        <v>0.44314999999999999</v>
      </c>
      <c r="G6" s="16">
        <f t="shared" ref="G6:G44" si="3">F6/(1-E6)/(1-D6)</f>
        <v>0.58309210526315791</v>
      </c>
      <c r="H6" s="17">
        <f>IF(VLOOKUP($B6,'Tarifas e Resoluções'!$B$5:$M$44,8,FALSE)="","",VLOOKUP($B6,'Tarifas e Resoluções'!$B$5:$M$44,8,FALSE))</f>
        <v>0.48892000000000002</v>
      </c>
      <c r="I6" s="18">
        <f t="shared" ref="I6:I44" si="4">IFERROR(H6/(1-E6)/(1-D6),"")</f>
        <v>0.64331578947368417</v>
      </c>
      <c r="J6" s="19">
        <f t="shared" si="0"/>
        <v>0.10328331264808743</v>
      </c>
      <c r="K6" s="15">
        <f>VLOOKUP($B6,'Tarifas e Resoluções'!$B$5:$M$44,5,FALSE)</f>
        <v>0.27255000000000001</v>
      </c>
      <c r="L6" s="16">
        <f t="shared" ref="L6:L44" si="5">K6/(1-E6)/(1-D6)</f>
        <v>0.35861842105263164</v>
      </c>
      <c r="M6" s="17">
        <f>IF(VLOOKUP($B6,'Tarifas e Resoluções'!$B$5:$M$44,10,FALSE)="","",VLOOKUP($B6,'Tarifas e Resoluções'!$B$5:$M$44,10,FALSE))</f>
        <v>0.29608000000000001</v>
      </c>
      <c r="N6" s="18">
        <f t="shared" ref="N6:N44" si="6">IFERROR(M6/(1-E6)/(1-D6),"")</f>
        <v>0.38957894736842108</v>
      </c>
      <c r="O6" s="19">
        <f t="shared" si="1"/>
        <v>8.6332782975600653E-2</v>
      </c>
      <c r="Q6" s="20">
        <v>2</v>
      </c>
      <c r="R6" s="21" t="str">
        <f>VLOOKUP(T6,Rascunho!$M$4:$O$43,2,FALSE)</f>
        <v>Energisa Minas Rio (EMR)</v>
      </c>
      <c r="S6" s="22" t="str">
        <f>VLOOKUP(T6,Rascunho!$M$4:$O$43,3,FALSE)</f>
        <v>MG</v>
      </c>
      <c r="T6" s="23">
        <f>LARGE(Rascunho!$M$4:$M$43,2)</f>
        <v>0.46392930873793231</v>
      </c>
    </row>
    <row r="7" spans="2:20" ht="15">
      <c r="B7" s="12" t="str">
        <f>'Tarifas e Resoluções'!B7</f>
        <v>Equatorial MA</v>
      </c>
      <c r="C7" s="2" t="s">
        <v>121</v>
      </c>
      <c r="D7" s="13">
        <f>VLOOKUP(C7,Rascunho!$B$3:$C$29,2,FALSE)</f>
        <v>0.22</v>
      </c>
      <c r="E7" s="14">
        <f t="shared" si="2"/>
        <v>0.05</v>
      </c>
      <c r="F7" s="15">
        <f>VLOOKUP($B7,'Tarifas e Resoluções'!$B$5:$M$44,3,FALSE)</f>
        <v>0.43069000000000002</v>
      </c>
      <c r="G7" s="16">
        <f t="shared" si="3"/>
        <v>0.58122807017543865</v>
      </c>
      <c r="H7" s="17">
        <f>IF(VLOOKUP($B7,'Tarifas e Resoluções'!$B$5:$M$44,8,FALSE)="","",VLOOKUP($B7,'Tarifas e Resoluções'!$B$5:$M$44,8,FALSE))</f>
        <v>0.47205999999999998</v>
      </c>
      <c r="I7" s="18">
        <f t="shared" si="4"/>
        <v>0.63705802968960856</v>
      </c>
      <c r="J7" s="19">
        <f t="shared" si="0"/>
        <v>9.6055167289697652E-2</v>
      </c>
      <c r="K7" s="15">
        <f>VLOOKUP($B7,'Tarifas e Resoluções'!$B$5:$M$44,5,FALSE)</f>
        <v>0.26656000000000002</v>
      </c>
      <c r="L7" s="16">
        <f t="shared" si="5"/>
        <v>0.3597300944669366</v>
      </c>
      <c r="M7" s="17">
        <f>IF(VLOOKUP($B7,'Tarifas e Resoluções'!$B$5:$M$44,10,FALSE)="","",VLOOKUP($B7,'Tarifas e Resoluções'!$B$5:$M$44,10,FALSE))</f>
        <v>0.27606000000000003</v>
      </c>
      <c r="N7" s="18">
        <f t="shared" si="6"/>
        <v>0.37255060728744943</v>
      </c>
      <c r="O7" s="19">
        <f t="shared" si="1"/>
        <v>3.5639255702280881E-2</v>
      </c>
      <c r="Q7" s="20">
        <v>3</v>
      </c>
      <c r="R7" s="21" t="str">
        <f>VLOOKUP(T7,Rascunho!$M$4:$O$43,2,FALSE)</f>
        <v>Roraima Energia (Boa Vista)</v>
      </c>
      <c r="S7" s="22" t="str">
        <f>VLOOKUP(T7,Rascunho!$M$4:$O$43,3,FALSE)</f>
        <v>RR</v>
      </c>
      <c r="T7" s="23">
        <f>LARGE(Rascunho!$M$4:$M$43,3)</f>
        <v>0.45320385724585432</v>
      </c>
    </row>
    <row r="8" spans="2:20" ht="15">
      <c r="B8" s="12" t="str">
        <f>'Tarifas e Resoluções'!B8</f>
        <v>Energisa AC (EAC)</v>
      </c>
      <c r="C8" s="2" t="s">
        <v>122</v>
      </c>
      <c r="D8" s="13">
        <f>VLOOKUP(C8,Rascunho!$B$3:$C$29,2,FALSE)</f>
        <v>0.19</v>
      </c>
      <c r="E8" s="14">
        <f t="shared" si="2"/>
        <v>0.05</v>
      </c>
      <c r="F8" s="15">
        <f>VLOOKUP($B8,'Tarifas e Resoluções'!$B$5:$M$44,3,FALSE)</f>
        <v>0.28832999999999998</v>
      </c>
      <c r="G8" s="16">
        <f t="shared" si="3"/>
        <v>0.37469785575048731</v>
      </c>
      <c r="H8" s="17" t="str">
        <f>IF(VLOOKUP($B8,'Tarifas e Resoluções'!$B$5:$M$44,8,FALSE)="","",VLOOKUP($B8,'Tarifas e Resoluções'!$B$5:$M$44,8,FALSE))</f>
        <v/>
      </c>
      <c r="I8" s="18" t="str">
        <f t="shared" si="4"/>
        <v/>
      </c>
      <c r="J8" s="19" t="str">
        <f t="shared" si="0"/>
        <v/>
      </c>
      <c r="K8" s="15">
        <f>VLOOKUP($B8,'Tarifas e Resoluções'!$B$5:$M$44,5,FALSE)</f>
        <v>0.14152999999999999</v>
      </c>
      <c r="L8" s="16">
        <f t="shared" si="5"/>
        <v>0.1839246263807667</v>
      </c>
      <c r="M8" s="17" t="str">
        <f>IF(VLOOKUP($B8,'Tarifas e Resoluções'!$B$5:$M$44,10,FALSE)="","",VLOOKUP($B8,'Tarifas e Resoluções'!$B$5:$M$44,10,FALSE))</f>
        <v/>
      </c>
      <c r="N8" s="18" t="str">
        <f t="shared" si="6"/>
        <v/>
      </c>
      <c r="O8" s="19" t="str">
        <f t="shared" si="1"/>
        <v/>
      </c>
      <c r="Q8" s="20">
        <v>4</v>
      </c>
      <c r="R8" s="21" t="str">
        <f>VLOOKUP(T8,Rascunho!$M$4:$O$43,2,FALSE)</f>
        <v>RGE Sul</v>
      </c>
      <c r="S8" s="22" t="str">
        <f>VLOOKUP(T8,Rascunho!$M$4:$O$43,3,FALSE)</f>
        <v>RS</v>
      </c>
      <c r="T8" s="23">
        <f>LARGE(Rascunho!$M$4:$M$43,4)</f>
        <v>0.45233592480954826</v>
      </c>
    </row>
    <row r="9" spans="2:20" ht="15">
      <c r="B9" s="12" t="str">
        <f>'Tarifas e Resoluções'!B9</f>
        <v>Energisa RO (ERO)</v>
      </c>
      <c r="C9" s="2" t="s">
        <v>123</v>
      </c>
      <c r="D9" s="13">
        <f>VLOOKUP(C9,Rascunho!$B$3:$C$29,2,FALSE)</f>
        <v>0.19500000000000001</v>
      </c>
      <c r="E9" s="14">
        <f t="shared" si="2"/>
        <v>0.05</v>
      </c>
      <c r="F9" s="15">
        <f>VLOOKUP($B9,'Tarifas e Resoluções'!$B$5:$M$44,3,FALSE)</f>
        <v>0.38579999999999998</v>
      </c>
      <c r="G9" s="16">
        <f t="shared" si="3"/>
        <v>0.50447858777378229</v>
      </c>
      <c r="H9" s="17" t="str">
        <f>IF(VLOOKUP($B9,'Tarifas e Resoluções'!$B$5:$M$44,8,FALSE)="","",VLOOKUP($B9,'Tarifas e Resoluções'!$B$5:$M$44,8,FALSE))</f>
        <v/>
      </c>
      <c r="I9" s="18" t="str">
        <f t="shared" si="4"/>
        <v/>
      </c>
      <c r="J9" s="19" t="str">
        <f t="shared" si="0"/>
        <v/>
      </c>
      <c r="K9" s="15">
        <f>VLOOKUP($B9,'Tarifas e Resoluções'!$B$5:$M$44,5,FALSE)</f>
        <v>0.20039000000000001</v>
      </c>
      <c r="L9" s="16">
        <f t="shared" si="5"/>
        <v>0.26203334423014063</v>
      </c>
      <c r="M9" s="17" t="str">
        <f>IF(VLOOKUP($B9,'Tarifas e Resoluções'!$B$5:$M$44,10,FALSE)="","",VLOOKUP($B9,'Tarifas e Resoluções'!$B$5:$M$44,10,FALSE))</f>
        <v/>
      </c>
      <c r="N9" s="18" t="str">
        <f t="shared" si="6"/>
        <v/>
      </c>
      <c r="O9" s="19" t="str">
        <f t="shared" si="1"/>
        <v/>
      </c>
      <c r="Q9" s="20">
        <v>5</v>
      </c>
      <c r="R9" s="21" t="str">
        <f>VLOOKUP(T9,Rascunho!$M$4:$O$43,2,FALSE)</f>
        <v>Enel RJ</v>
      </c>
      <c r="S9" s="22" t="str">
        <f>VLOOKUP(T9,Rascunho!$M$4:$O$43,3,FALSE)</f>
        <v>RJ</v>
      </c>
      <c r="T9" s="23">
        <f>LARGE(Rascunho!$M$4:$M$43,5)</f>
        <v>0.44034180023293212</v>
      </c>
    </row>
    <row r="10" spans="2:20" ht="15">
      <c r="B10" s="12" t="str">
        <f>'Tarifas e Resoluções'!B10</f>
        <v>LIGHT (LIGHT SESA)</v>
      </c>
      <c r="C10" s="2" t="s">
        <v>124</v>
      </c>
      <c r="D10" s="13">
        <f>VLOOKUP(C10,Rascunho!$B$3:$C$29,2,FALSE)</f>
        <v>0.22</v>
      </c>
      <c r="E10" s="14">
        <f t="shared" si="2"/>
        <v>0.05</v>
      </c>
      <c r="F10" s="15">
        <f>VLOOKUP($B10,'Tarifas e Resoluções'!$B$5:$M$44,3,FALSE)</f>
        <v>0.46099000000000001</v>
      </c>
      <c r="G10" s="16">
        <f t="shared" si="3"/>
        <v>0.62211875843454789</v>
      </c>
      <c r="H10" s="17">
        <f>IF(VLOOKUP($B10,'Tarifas e Resoluções'!$B$5:$M$44,8,FALSE)="","",VLOOKUP($B10,'Tarifas e Resoluções'!$B$5:$M$44,8,FALSE))</f>
        <v>0.43741999999999998</v>
      </c>
      <c r="I10" s="18">
        <f t="shared" si="4"/>
        <v>0.59031039136302288</v>
      </c>
      <c r="J10" s="19">
        <f t="shared" si="0"/>
        <v>-5.112909173734792E-2</v>
      </c>
      <c r="K10" s="15">
        <f>VLOOKUP($B10,'Tarifas e Resoluções'!$B$5:$M$44,5,FALSE)</f>
        <v>0.29436000000000001</v>
      </c>
      <c r="L10" s="16">
        <f t="shared" si="5"/>
        <v>0.39724696356275302</v>
      </c>
      <c r="M10" s="17">
        <f>IF(VLOOKUP($B10,'Tarifas e Resoluções'!$B$5:$M$44,10,FALSE)="","",VLOOKUP($B10,'Tarifas e Resoluções'!$B$5:$M$44,10,FALSE))</f>
        <v>0.28537000000000001</v>
      </c>
      <c r="N10" s="18">
        <f t="shared" si="6"/>
        <v>0.38511470985155194</v>
      </c>
      <c r="O10" s="19">
        <f t="shared" si="1"/>
        <v>-3.0540834352493551E-2</v>
      </c>
      <c r="Q10" s="20">
        <v>6</v>
      </c>
      <c r="R10" s="21" t="str">
        <f>VLOOKUP(T10,Rascunho!$M$4:$O$43,2,FALSE)</f>
        <v>CELESC</v>
      </c>
      <c r="S10" s="22" t="str">
        <f>VLOOKUP(T10,Rascunho!$M$4:$O$43,3,FALSE)</f>
        <v>SC</v>
      </c>
      <c r="T10" s="23">
        <f>LARGE(Rascunho!$M$4:$M$43,6)</f>
        <v>0.43902379235760641</v>
      </c>
    </row>
    <row r="11" spans="2:20" ht="15">
      <c r="B11" s="12" t="str">
        <f>'Tarifas e Resoluções'!B11</f>
        <v>Energisa MT (EMT)</v>
      </c>
      <c r="C11" s="2" t="s">
        <v>125</v>
      </c>
      <c r="D11" s="13">
        <f>VLOOKUP(C11,Rascunho!$B$3:$C$29,2,FALSE)</f>
        <v>0.17</v>
      </c>
      <c r="E11" s="14">
        <f t="shared" si="2"/>
        <v>0.05</v>
      </c>
      <c r="F11" s="15">
        <f>VLOOKUP($B11,'Tarifas e Resoluções'!$B$5:$M$44,3,FALSE)</f>
        <v>0.47965999999999998</v>
      </c>
      <c r="G11" s="16">
        <f t="shared" si="3"/>
        <v>0.60831959416613823</v>
      </c>
      <c r="H11" s="17">
        <f>IF(VLOOKUP($B11,'Tarifas e Resoluções'!$B$5:$M$44,8,FALSE)="","",VLOOKUP($B11,'Tarifas e Resoluções'!$B$5:$M$44,8,FALSE))</f>
        <v>0.48920000000000002</v>
      </c>
      <c r="I11" s="18">
        <f t="shared" si="4"/>
        <v>0.62041851616994304</v>
      </c>
      <c r="J11" s="19">
        <f t="shared" si="0"/>
        <v>1.988908810407386E-2</v>
      </c>
      <c r="K11" s="15">
        <f>VLOOKUP($B11,'Tarifas e Resoluções'!$B$5:$M$44,5,FALSE)</f>
        <v>0.28461999999999998</v>
      </c>
      <c r="L11" s="16">
        <f t="shared" si="5"/>
        <v>0.36096385542168674</v>
      </c>
      <c r="M11" s="17">
        <f>IF(VLOOKUP($B11,'Tarifas e Resoluções'!$B$5:$M$44,10,FALSE)="","",VLOOKUP($B11,'Tarifas e Resoluções'!$B$5:$M$44,10,FALSE))</f>
        <v>0.28445999999999999</v>
      </c>
      <c r="N11" s="18">
        <f t="shared" si="6"/>
        <v>0.36076093849080537</v>
      </c>
      <c r="O11" s="19">
        <f t="shared" si="1"/>
        <v>-5.6215304616669126E-4</v>
      </c>
      <c r="Q11" s="20">
        <v>7</v>
      </c>
      <c r="R11" s="21" t="str">
        <f>VLOOKUP(T11,Rascunho!$M$4:$O$43,2,FALSE)</f>
        <v>CPFL Piratininga</v>
      </c>
      <c r="S11" s="22" t="str">
        <f>VLOOKUP(T11,Rascunho!$M$4:$O$43,3,FALSE)</f>
        <v>SP</v>
      </c>
      <c r="T11" s="23">
        <f>LARGE(Rascunho!$M$4:$M$43,7)</f>
        <v>0.43546334429458217</v>
      </c>
    </row>
    <row r="12" spans="2:20" ht="15">
      <c r="B12" s="12" t="str">
        <f>'Tarifas e Resoluções'!B12</f>
        <v>Energisa PB (EPB)</v>
      </c>
      <c r="C12" s="2" t="s">
        <v>126</v>
      </c>
      <c r="D12" s="13">
        <f>VLOOKUP(C12,Rascunho!$B$3:$C$29,2,FALSE)</f>
        <v>0.2</v>
      </c>
      <c r="E12" s="14">
        <f t="shared" si="2"/>
        <v>0.05</v>
      </c>
      <c r="F12" s="15">
        <f>VLOOKUP($B12,'Tarifas e Resoluções'!$B$5:$M$44,3,FALSE)</f>
        <v>0.40487000000000001</v>
      </c>
      <c r="G12" s="16">
        <f t="shared" si="3"/>
        <v>0.53272368421052629</v>
      </c>
      <c r="H12" s="17">
        <f>IF(VLOOKUP($B12,'Tarifas e Resoluções'!$B$5:$M$44,8,FALSE)="","",VLOOKUP($B12,'Tarifas e Resoluções'!$B$5:$M$44,8,FALSE))</f>
        <v>0.42819000000000002</v>
      </c>
      <c r="I12" s="18">
        <f t="shared" si="4"/>
        <v>0.56340789473684205</v>
      </c>
      <c r="J12" s="19">
        <f t="shared" si="0"/>
        <v>5.7598735396547029E-2</v>
      </c>
      <c r="K12" s="15">
        <f>VLOOKUP($B12,'Tarifas e Resoluções'!$B$5:$M$44,5,FALSE)</f>
        <v>0.2407</v>
      </c>
      <c r="L12" s="16">
        <f t="shared" si="5"/>
        <v>0.31671052631578944</v>
      </c>
      <c r="M12" s="17">
        <f>IF(VLOOKUP($B12,'Tarifas e Resoluções'!$B$5:$M$44,10,FALSE)="","",VLOOKUP($B12,'Tarifas e Resoluções'!$B$5:$M$44,10,FALSE))</f>
        <v>0.24537</v>
      </c>
      <c r="N12" s="18">
        <f t="shared" si="6"/>
        <v>0.3228552631578947</v>
      </c>
      <c r="O12" s="19">
        <f t="shared" si="1"/>
        <v>1.9401744910677143E-2</v>
      </c>
      <c r="Q12" s="20">
        <v>8</v>
      </c>
      <c r="R12" s="21" t="str">
        <f>VLOOKUP(T12,Rascunho!$M$4:$O$43,2,FALSE)</f>
        <v>CEEE Equatorial</v>
      </c>
      <c r="S12" s="22" t="str">
        <f>VLOOKUP(T12,Rascunho!$M$4:$O$43,3,FALSE)</f>
        <v>RS</v>
      </c>
      <c r="T12" s="23">
        <f>LARGE(Rascunho!$M$4:$M$43,8)</f>
        <v>0.42965745606796335</v>
      </c>
    </row>
    <row r="13" spans="2:20" ht="15">
      <c r="B13" s="12" t="str">
        <f>'Tarifas e Resoluções'!B13</f>
        <v>SULGIPE</v>
      </c>
      <c r="C13" s="2" t="s">
        <v>127</v>
      </c>
      <c r="D13" s="13">
        <f>VLOOKUP(C13,Rascunho!$B$3:$C$29,2,FALSE)</f>
        <v>0.2</v>
      </c>
      <c r="E13" s="14">
        <f t="shared" si="2"/>
        <v>0.05</v>
      </c>
      <c r="F13" s="15">
        <f>VLOOKUP($B13,'Tarifas e Resoluções'!$B$5:$M$44,3,FALSE)</f>
        <v>0.35235</v>
      </c>
      <c r="G13" s="16">
        <f t="shared" si="3"/>
        <v>0.46361842105263157</v>
      </c>
      <c r="H13" s="17">
        <f>IF(VLOOKUP($B13,'Tarifas e Resoluções'!$B$5:$M$44,8,FALSE)="","",VLOOKUP($B13,'Tarifas e Resoluções'!$B$5:$M$44,8,FALSE))</f>
        <v>0.36613000000000001</v>
      </c>
      <c r="I13" s="18">
        <f t="shared" si="4"/>
        <v>0.48175000000000001</v>
      </c>
      <c r="J13" s="19">
        <f t="shared" si="0"/>
        <v>3.9108840641407738E-2</v>
      </c>
      <c r="K13" s="15">
        <f>VLOOKUP($B13,'Tarifas e Resoluções'!$B$5:$M$44,5,FALSE)</f>
        <v>0.21751000000000001</v>
      </c>
      <c r="L13" s="16">
        <f t="shared" si="5"/>
        <v>0.28619736842105264</v>
      </c>
      <c r="M13" s="17">
        <f>IF(VLOOKUP($B13,'Tarifas e Resoluções'!$B$5:$M$44,10,FALSE)="","",VLOOKUP($B13,'Tarifas e Resoluções'!$B$5:$M$44,10,FALSE))</f>
        <v>0.22247</v>
      </c>
      <c r="N13" s="18">
        <f t="shared" si="6"/>
        <v>0.2927236842105263</v>
      </c>
      <c r="O13" s="19">
        <f t="shared" si="1"/>
        <v>2.2803549262102818E-2</v>
      </c>
      <c r="Q13" s="20">
        <v>9</v>
      </c>
      <c r="R13" s="21" t="str">
        <f>VLOOKUP(T13,Rascunho!$M$4:$O$43,2,FALSE)</f>
        <v>EDP ES</v>
      </c>
      <c r="S13" s="22" t="str">
        <f>VLOOKUP(T13,Rascunho!$M$4:$O$43,3,FALSE)</f>
        <v>ES</v>
      </c>
      <c r="T13" s="23">
        <f>LARGE(Rascunho!$M$4:$M$43,9)</f>
        <v>0.42867629711347188</v>
      </c>
    </row>
    <row r="14" spans="2:20" ht="15">
      <c r="B14" s="12" t="str">
        <f>'Tarifas e Resoluções'!B14</f>
        <v>Neoenergia PE</v>
      </c>
      <c r="C14" s="2" t="s">
        <v>128</v>
      </c>
      <c r="D14" s="13">
        <f>VLOOKUP(C14,Rascunho!$B$3:$C$29,2,FALSE)</f>
        <v>0.20499999999999999</v>
      </c>
      <c r="E14" s="14">
        <f t="shared" si="2"/>
        <v>0.05</v>
      </c>
      <c r="F14" s="15">
        <f>VLOOKUP($B14,'Tarifas e Resoluções'!$B$5:$M$44,3,FALSE)</f>
        <v>0.43670999999999999</v>
      </c>
      <c r="G14" s="16">
        <f t="shared" si="3"/>
        <v>0.57823237338629585</v>
      </c>
      <c r="H14" s="17">
        <f>IF(VLOOKUP($B14,'Tarifas e Resoluções'!$B$5:$M$44,8,FALSE)="","",VLOOKUP($B14,'Tarifas e Resoluções'!$B$5:$M$44,8,FALSE))</f>
        <v>0.43769999999999998</v>
      </c>
      <c r="I14" s="18">
        <f t="shared" si="4"/>
        <v>0.57954319761668316</v>
      </c>
      <c r="J14" s="19">
        <f t="shared" si="0"/>
        <v>2.2669506079548984E-3</v>
      </c>
      <c r="K14" s="15">
        <f>VLOOKUP($B14,'Tarifas e Resoluções'!$B$5:$M$44,5,FALSE)</f>
        <v>0.2661</v>
      </c>
      <c r="L14" s="16">
        <f t="shared" si="5"/>
        <v>0.3523336643495531</v>
      </c>
      <c r="M14" s="17">
        <f>IF(VLOOKUP($B14,'Tarifas e Resoluções'!$B$5:$M$44,10,FALSE)="","",VLOOKUP($B14,'Tarifas e Resoluções'!$B$5:$M$44,10,FALSE))</f>
        <v>0.25527</v>
      </c>
      <c r="N14" s="18">
        <f t="shared" si="6"/>
        <v>0.33799404170804365</v>
      </c>
      <c r="O14" s="19">
        <f t="shared" si="1"/>
        <v>-4.0698985343855743E-2</v>
      </c>
      <c r="Q14" s="20">
        <v>10</v>
      </c>
      <c r="R14" s="21" t="str">
        <f>VLOOKUP(T14,Rascunho!$M$4:$O$43,2,FALSE)</f>
        <v>Neoenergia Elektro (ELEKTRO)</v>
      </c>
      <c r="S14" s="22" t="str">
        <f>VLOOKUP(T14,Rascunho!$M$4:$O$43,3,FALSE)</f>
        <v>SP</v>
      </c>
      <c r="T14" s="23">
        <f>LARGE(Rascunho!$M$4:$M$43,10)</f>
        <v>0.41942275836601195</v>
      </c>
    </row>
    <row r="15" spans="2:20" ht="15">
      <c r="B15" s="12" t="str">
        <f>'Tarifas e Resoluções'!B15</f>
        <v>Neoenergia BA (COELBA)</v>
      </c>
      <c r="C15" s="2" t="s">
        <v>129</v>
      </c>
      <c r="D15" s="13">
        <f>VLOOKUP(C15,Rascunho!$B$3:$C$29,2,FALSE)</f>
        <v>0.1295</v>
      </c>
      <c r="E15" s="14">
        <f t="shared" si="2"/>
        <v>0.05</v>
      </c>
      <c r="F15" s="15">
        <f>VLOOKUP($B15,'Tarifas e Resoluções'!$B$5:$M$44,3,FALSE)</f>
        <v>0.42775999999999997</v>
      </c>
      <c r="G15" s="16">
        <f t="shared" si="3"/>
        <v>0.51725868375706641</v>
      </c>
      <c r="H15" s="17">
        <f>IF(VLOOKUP($B15,'Tarifas e Resoluções'!$B$5:$M$44,8,FALSE)="","",VLOOKUP($B15,'Tarifas e Resoluções'!$B$5:$M$44,8,FALSE))</f>
        <v>0.44144</v>
      </c>
      <c r="I15" s="18">
        <f t="shared" si="4"/>
        <v>0.53380090087366605</v>
      </c>
      <c r="J15" s="19">
        <f t="shared" si="0"/>
        <v>3.198054984103238E-2</v>
      </c>
      <c r="K15" s="15">
        <f>VLOOKUP($B15,'Tarifas e Resoluções'!$B$5:$M$44,5,FALSE)</f>
        <v>0.26247999999999999</v>
      </c>
      <c r="L15" s="16">
        <f t="shared" si="5"/>
        <v>0.31739774479276878</v>
      </c>
      <c r="M15" s="17">
        <f>IF(VLOOKUP($B15,'Tarifas e Resoluções'!$B$5:$M$44,10,FALSE)="","",VLOOKUP($B15,'Tarifas e Resoluções'!$B$5:$M$44,10,FALSE))</f>
        <v>0.25224000000000002</v>
      </c>
      <c r="N15" s="18">
        <f t="shared" si="6"/>
        <v>0.30501526648326738</v>
      </c>
      <c r="O15" s="19">
        <f t="shared" si="1"/>
        <v>-3.9012496190185653E-2</v>
      </c>
      <c r="Q15" s="20">
        <v>11</v>
      </c>
      <c r="R15" s="21" t="str">
        <f>VLOOKUP(T15,Rascunho!$M$4:$O$43,2,FALSE)</f>
        <v>EDP SP</v>
      </c>
      <c r="S15" s="22" t="str">
        <f>VLOOKUP(T15,Rascunho!$M$4:$O$43,3,FALSE)</f>
        <v>SP</v>
      </c>
      <c r="T15" s="23">
        <f>LARGE(Rascunho!$M$4:$M$43,11)</f>
        <v>0.41687674749854925</v>
      </c>
    </row>
    <row r="16" spans="2:20" ht="15">
      <c r="B16" s="12" t="str">
        <f>'Tarifas e Resoluções'!B16</f>
        <v>Equatorial PI</v>
      </c>
      <c r="C16" s="2" t="s">
        <v>130</v>
      </c>
      <c r="D16" s="13">
        <f>VLOOKUP(C16,Rascunho!$B$3:$C$29,2,FALSE)</f>
        <v>0.22500000000000001</v>
      </c>
      <c r="E16" s="14">
        <f t="shared" si="2"/>
        <v>0.05</v>
      </c>
      <c r="F16" s="15">
        <f>VLOOKUP($B16,'Tarifas e Resoluções'!$B$5:$M$44,3,FALSE)</f>
        <v>0.46024999999999999</v>
      </c>
      <c r="G16" s="16">
        <f t="shared" si="3"/>
        <v>0.62512733446519531</v>
      </c>
      <c r="H16" s="17" t="str">
        <f>IF(VLOOKUP($B16,'Tarifas e Resoluções'!$B$5:$M$44,8,FALSE)="","",VLOOKUP($B16,'Tarifas e Resoluções'!$B$5:$M$44,8,FALSE))</f>
        <v/>
      </c>
      <c r="I16" s="18" t="str">
        <f t="shared" si="4"/>
        <v/>
      </c>
      <c r="J16" s="19" t="str">
        <f t="shared" si="0"/>
        <v/>
      </c>
      <c r="K16" s="15">
        <f>VLOOKUP($B16,'Tarifas e Resoluções'!$B$5:$M$44,5,FALSE)</f>
        <v>0.28170000000000001</v>
      </c>
      <c r="L16" s="16">
        <f t="shared" si="5"/>
        <v>0.38261460101867573</v>
      </c>
      <c r="M16" s="17" t="str">
        <f>IF(VLOOKUP($B16,'Tarifas e Resoluções'!$B$5:$M$44,10,FALSE)="","",VLOOKUP($B16,'Tarifas e Resoluções'!$B$5:$M$44,10,FALSE))</f>
        <v/>
      </c>
      <c r="N16" s="18" t="str">
        <f t="shared" si="6"/>
        <v/>
      </c>
      <c r="O16" s="19" t="str">
        <f t="shared" si="1"/>
        <v/>
      </c>
      <c r="Q16" s="20">
        <v>12</v>
      </c>
      <c r="R16" s="21" t="str">
        <f>VLOOKUP(T16,Rascunho!$M$4:$O$43,2,FALSE)</f>
        <v>Equatorial GO</v>
      </c>
      <c r="S16" s="22" t="str">
        <f>VLOOKUP(T16,Rascunho!$M$4:$O$43,3,FALSE)</f>
        <v>GO</v>
      </c>
      <c r="T16" s="23">
        <f>LARGE(Rascunho!$M$4:$M$43,12)</f>
        <v>0.41519463804106915</v>
      </c>
    </row>
    <row r="17" spans="2:20" ht="15">
      <c r="B17" s="12" t="str">
        <f>'Tarifas e Resoluções'!B17</f>
        <v>Energisa MS (EMS)</v>
      </c>
      <c r="C17" s="2" t="s">
        <v>131</v>
      </c>
      <c r="D17" s="13">
        <f>VLOOKUP(C17,Rascunho!$B$3:$C$29,2,FALSE)</f>
        <v>0.17</v>
      </c>
      <c r="E17" s="14">
        <f t="shared" si="2"/>
        <v>0.05</v>
      </c>
      <c r="F17" s="15">
        <f>VLOOKUP($B17,'Tarifas e Resoluções'!$B$5:$M$44,3,FALSE)</f>
        <v>0.44621</v>
      </c>
      <c r="G17" s="16">
        <f t="shared" si="3"/>
        <v>0.56589727330374129</v>
      </c>
      <c r="H17" s="17">
        <f>IF(VLOOKUP($B17,'Tarifas e Resoluções'!$B$5:$M$44,8,FALSE)="","",VLOOKUP($B17,'Tarifas e Resoluções'!$B$5:$M$44,8,FALSE))</f>
        <v>0.48948000000000003</v>
      </c>
      <c r="I17" s="18">
        <f t="shared" si="4"/>
        <v>0.62077362079898546</v>
      </c>
      <c r="J17" s="19">
        <f t="shared" si="0"/>
        <v>9.6972277627126235E-2</v>
      </c>
      <c r="K17" s="15">
        <f>VLOOKUP($B17,'Tarifas e Resoluções'!$B$5:$M$44,5,FALSE)</f>
        <v>0.26962999999999998</v>
      </c>
      <c r="L17" s="16">
        <f t="shared" si="5"/>
        <v>0.34195307545973364</v>
      </c>
      <c r="M17" s="17">
        <f>IF(VLOOKUP($B17,'Tarifas e Resoluções'!$B$5:$M$44,10,FALSE)="","",VLOOKUP($B17,'Tarifas e Resoluções'!$B$5:$M$44,10,FALSE))</f>
        <v>0.30532999999999999</v>
      </c>
      <c r="N17" s="18">
        <f t="shared" si="6"/>
        <v>0.38722891566265066</v>
      </c>
      <c r="O17" s="19">
        <f t="shared" si="1"/>
        <v>0.13240366428068118</v>
      </c>
      <c r="Q17" s="20">
        <v>13</v>
      </c>
      <c r="R17" s="21" t="str">
        <f>VLOOKUP(T17,Rascunho!$M$4:$O$43,2,FALSE)</f>
        <v>Energisa Sul-Sudeste (ESS)</v>
      </c>
      <c r="S17" s="22" t="str">
        <f>VLOOKUP(T17,Rascunho!$M$4:$O$43,3,FALSE)</f>
        <v>SP</v>
      </c>
      <c r="T17" s="23">
        <f>LARGE(Rascunho!$M$4:$M$43,13)</f>
        <v>0.41323254259939857</v>
      </c>
    </row>
    <row r="18" spans="2:20" ht="15">
      <c r="B18" s="12" t="str">
        <f>'Tarifas e Resoluções'!B18</f>
        <v>CEMIG</v>
      </c>
      <c r="C18" s="2" t="s">
        <v>132</v>
      </c>
      <c r="D18" s="13">
        <f>VLOOKUP(C18,Rascunho!$B$3:$C$29,2,FALSE)</f>
        <v>0.18</v>
      </c>
      <c r="E18" s="14">
        <f t="shared" si="2"/>
        <v>0.05</v>
      </c>
      <c r="F18" s="15">
        <f>VLOOKUP($B18,'Tarifas e Resoluções'!$B$5:$M$44,3,FALSE)</f>
        <v>0.47591</v>
      </c>
      <c r="G18" s="16">
        <f t="shared" si="3"/>
        <v>0.61092426187419768</v>
      </c>
      <c r="H18" s="17">
        <f>IF(VLOOKUP($B18,'Tarifas e Resoluções'!$B$5:$M$44,8,FALSE)="","",VLOOKUP($B18,'Tarifas e Resoluções'!$B$5:$M$44,8,FALSE))</f>
        <v>0.47421999999999997</v>
      </c>
      <c r="I18" s="18">
        <f t="shared" si="4"/>
        <v>0.60875481386392805</v>
      </c>
      <c r="J18" s="19">
        <f t="shared" si="0"/>
        <v>-3.5510915929483078E-3</v>
      </c>
      <c r="K18" s="15">
        <f>VLOOKUP($B18,'Tarifas e Resoluções'!$B$5:$M$44,5,FALSE)</f>
        <v>0.29676999999999998</v>
      </c>
      <c r="L18" s="16">
        <f t="shared" si="5"/>
        <v>0.38096277278562252</v>
      </c>
      <c r="M18" s="17">
        <f>IF(VLOOKUP($B18,'Tarifas e Resoluções'!$B$5:$M$44,10,FALSE)="","",VLOOKUP($B18,'Tarifas e Resoluções'!$B$5:$M$44,10,FALSE))</f>
        <v>0.29498000000000002</v>
      </c>
      <c r="N18" s="18">
        <f t="shared" si="6"/>
        <v>0.37866495507060338</v>
      </c>
      <c r="O18" s="19">
        <f t="shared" si="1"/>
        <v>-6.0316069683590268E-3</v>
      </c>
      <c r="Q18" s="20">
        <v>14</v>
      </c>
      <c r="R18" s="21" t="str">
        <f>VLOOKUP(T18,Rascunho!$M$4:$O$43,2,FALSE)</f>
        <v>Amazonas Energia</v>
      </c>
      <c r="S18" s="22" t="str">
        <f>VLOOKUP(T18,Rascunho!$M$4:$O$43,3,FALSE)</f>
        <v>AM</v>
      </c>
      <c r="T18" s="23">
        <f>LARGE(Rascunho!$M$4:$M$43,14)</f>
        <v>0.41244050108147073</v>
      </c>
    </row>
    <row r="19" spans="2:20" ht="15">
      <c r="B19" s="12" t="str">
        <f>'Tarifas e Resoluções'!B19</f>
        <v>Equatorial AL</v>
      </c>
      <c r="C19" s="2" t="s">
        <v>133</v>
      </c>
      <c r="D19" s="13">
        <f>VLOOKUP(C19,Rascunho!$B$3:$C$29,2,FALSE)</f>
        <v>0.2</v>
      </c>
      <c r="E19" s="14">
        <f t="shared" si="2"/>
        <v>0.05</v>
      </c>
      <c r="F19" s="15">
        <f>VLOOKUP($B19,'Tarifas e Resoluções'!$B$5:$M$44,3,FALSE)</f>
        <v>0.38757000000000003</v>
      </c>
      <c r="G19" s="16">
        <f t="shared" si="3"/>
        <v>0.50996052631578948</v>
      </c>
      <c r="H19" s="17">
        <f>IF(VLOOKUP($B19,'Tarifas e Resoluções'!$B$5:$M$44,8,FALSE)="","",VLOOKUP($B19,'Tarifas e Resoluções'!$B$5:$M$44,8,FALSE))</f>
        <v>0.38318999999999998</v>
      </c>
      <c r="I19" s="18">
        <f t="shared" si="4"/>
        <v>0.50419736842105256</v>
      </c>
      <c r="J19" s="19">
        <f t="shared" si="0"/>
        <v>-1.1301184302190737E-2</v>
      </c>
      <c r="K19" s="15">
        <f>VLOOKUP($B19,'Tarifas e Resoluções'!$B$5:$M$44,5,FALSE)</f>
        <v>0.22405</v>
      </c>
      <c r="L19" s="16">
        <f t="shared" si="5"/>
        <v>0.29480263157894737</v>
      </c>
      <c r="M19" s="17">
        <f>IF(VLOOKUP($B19,'Tarifas e Resoluções'!$B$5:$M$44,10,FALSE)="","",VLOOKUP($B19,'Tarifas e Resoluções'!$B$5:$M$44,10,FALSE))</f>
        <v>0.19234999999999999</v>
      </c>
      <c r="N19" s="18">
        <f t="shared" si="6"/>
        <v>0.25309210526315784</v>
      </c>
      <c r="O19" s="19">
        <f t="shared" si="1"/>
        <v>-0.14148627538495895</v>
      </c>
      <c r="Q19" s="20">
        <v>15</v>
      </c>
      <c r="R19" s="21" t="str">
        <f>VLOOKUP(T19,Rascunho!$M$4:$O$43,2,FALSE)</f>
        <v>Energisa TO (ETO)</v>
      </c>
      <c r="S19" s="22" t="str">
        <f>VLOOKUP(T19,Rascunho!$M$4:$O$43,3,FALSE)</f>
        <v>TO</v>
      </c>
      <c r="T19" s="23">
        <f>LARGE(Rascunho!$M$4:$M$43,15)</f>
        <v>0.41147678442682051</v>
      </c>
    </row>
    <row r="20" spans="2:20" ht="15">
      <c r="B20" s="12" t="str">
        <f>'Tarifas e Resoluções'!B20</f>
        <v>COCEL</v>
      </c>
      <c r="C20" s="2" t="s">
        <v>134</v>
      </c>
      <c r="D20" s="13">
        <f>VLOOKUP(C20,Rascunho!$B$3:$C$29,2,FALSE)</f>
        <v>0.19500000000000001</v>
      </c>
      <c r="E20" s="14">
        <f t="shared" si="2"/>
        <v>0.05</v>
      </c>
      <c r="F20" s="15">
        <f>VLOOKUP($B20,'Tarifas e Resoluções'!$B$5:$M$44,3,FALSE)</f>
        <v>0.40262999999999999</v>
      </c>
      <c r="G20" s="16">
        <f t="shared" si="3"/>
        <v>0.52648577966655774</v>
      </c>
      <c r="H20" s="17">
        <f>IF(VLOOKUP($B20,'Tarifas e Resoluções'!$B$5:$M$44,8,FALSE)="","",VLOOKUP($B20,'Tarifas e Resoluções'!$B$5:$M$44,8,FALSE))</f>
        <v>0.44749</v>
      </c>
      <c r="I20" s="18">
        <f t="shared" si="4"/>
        <v>0.58514547237659376</v>
      </c>
      <c r="J20" s="19">
        <f t="shared" si="0"/>
        <v>0.11141743039515206</v>
      </c>
      <c r="K20" s="15">
        <f>VLOOKUP($B20,'Tarifas e Resoluções'!$B$5:$M$44,5,FALSE)</f>
        <v>0.25411</v>
      </c>
      <c r="L20" s="16">
        <f t="shared" si="5"/>
        <v>0.33227852239293892</v>
      </c>
      <c r="M20" s="17">
        <f>IF(VLOOKUP($B20,'Tarifas e Resoluções'!$B$5:$M$44,10,FALSE)="","",VLOOKUP($B20,'Tarifas e Resoluções'!$B$5:$M$44,10,FALSE))</f>
        <v>0.27903</v>
      </c>
      <c r="N20" s="18">
        <f t="shared" si="6"/>
        <v>0.36486433474991831</v>
      </c>
      <c r="O20" s="19">
        <f t="shared" si="1"/>
        <v>9.8067765928141259E-2</v>
      </c>
      <c r="Q20" s="20">
        <v>16</v>
      </c>
      <c r="R20" s="21" t="str">
        <f>VLOOKUP(T20,Rascunho!$M$4:$O$43,2,FALSE)</f>
        <v>Enel SP (ELETROPAULO)</v>
      </c>
      <c r="S20" s="22" t="str">
        <f>VLOOKUP(T20,Rascunho!$M$4:$O$43,3,FALSE)</f>
        <v>SP</v>
      </c>
      <c r="T20" s="23">
        <f>LARGE(Rascunho!$M$4:$M$43,16)</f>
        <v>0.40752355496157694</v>
      </c>
    </row>
    <row r="21" spans="2:20" ht="15">
      <c r="B21" s="12" t="str">
        <f>'Tarifas e Resoluções'!B21</f>
        <v>RGE Sul</v>
      </c>
      <c r="C21" s="2" t="s">
        <v>135</v>
      </c>
      <c r="D21" s="13">
        <f>VLOOKUP(C21,Rascunho!$B$3:$C$29,2,FALSE)</f>
        <v>0.17</v>
      </c>
      <c r="E21" s="14">
        <f t="shared" si="2"/>
        <v>0.05</v>
      </c>
      <c r="F21" s="15">
        <f>VLOOKUP($B21,'Tarifas e Resoluções'!$B$5:$M$44,3,FALSE)</f>
        <v>0.45822000000000002</v>
      </c>
      <c r="G21" s="16">
        <f t="shared" si="3"/>
        <v>0.58112872542802796</v>
      </c>
      <c r="H21" s="17">
        <f>IF(VLOOKUP($B21,'Tarifas e Resoluções'!$B$5:$M$44,8,FALSE)="","",VLOOKUP($B21,'Tarifas e Resoluções'!$B$5:$M$44,8,FALSE))</f>
        <v>0.54657</v>
      </c>
      <c r="I21" s="18">
        <f t="shared" si="4"/>
        <v>0.69317691819911231</v>
      </c>
      <c r="J21" s="19">
        <f t="shared" si="0"/>
        <v>0.19281131334293566</v>
      </c>
      <c r="K21" s="15">
        <f>VLOOKUP($B21,'Tarifas e Resoluções'!$B$5:$M$44,5,FALSE)</f>
        <v>0.28504000000000002</v>
      </c>
      <c r="L21" s="16">
        <f t="shared" si="5"/>
        <v>0.36149651236525054</v>
      </c>
      <c r="M21" s="17">
        <f>IF(VLOOKUP($B21,'Tarifas e Resoluções'!$B$5:$M$44,10,FALSE)="","",VLOOKUP($B21,'Tarifas e Resoluções'!$B$5:$M$44,10,FALSE))</f>
        <v>0.33872999999999998</v>
      </c>
      <c r="N21" s="18">
        <f t="shared" si="6"/>
        <v>0.4295878249841471</v>
      </c>
      <c r="O21" s="19">
        <f t="shared" si="1"/>
        <v>0.1883595284872297</v>
      </c>
      <c r="Q21" s="20">
        <v>17</v>
      </c>
      <c r="R21" s="21" t="str">
        <f>VLOOKUP(T21,Rascunho!$M$4:$O$43,2,FALSE)</f>
        <v>Energisa MS (EMS)</v>
      </c>
      <c r="S21" s="22" t="str">
        <f>VLOOKUP(T21,Rascunho!$M$4:$O$43,3,FALSE)</f>
        <v>MS</v>
      </c>
      <c r="T21" s="23">
        <f>LARGE(Rascunho!$M$4:$M$43,17)</f>
        <v>0.40738414364017</v>
      </c>
    </row>
    <row r="22" spans="2:20" ht="15">
      <c r="B22" s="12" t="str">
        <f>'Tarifas e Resoluções'!B22</f>
        <v>Equatorial GO</v>
      </c>
      <c r="C22" s="2" t="s">
        <v>136</v>
      </c>
      <c r="D22" s="13">
        <f>VLOOKUP(C22,Rascunho!$B$3:$C$29,2,FALSE)</f>
        <v>0.19</v>
      </c>
      <c r="E22" s="14">
        <f t="shared" si="2"/>
        <v>0.05</v>
      </c>
      <c r="F22" s="15">
        <f>VLOOKUP($B22,'Tarifas e Resoluções'!$B$5:$M$44,3,FALSE)</f>
        <v>0.48488999999999999</v>
      </c>
      <c r="G22" s="16">
        <f t="shared" si="3"/>
        <v>0.63013645224171544</v>
      </c>
      <c r="H22" s="17" t="str">
        <f>IF(VLOOKUP($B22,'Tarifas e Resoluções'!$B$5:$M$44,8,FALSE)="","",VLOOKUP($B22,'Tarifas e Resoluções'!$B$5:$M$44,8,FALSE))</f>
        <v/>
      </c>
      <c r="I22" s="18" t="str">
        <f t="shared" si="4"/>
        <v/>
      </c>
      <c r="J22" s="19" t="str">
        <f t="shared" si="0"/>
        <v/>
      </c>
      <c r="K22" s="15">
        <f>VLOOKUP($B22,'Tarifas e Resoluções'!$B$5:$M$44,5,FALSE)</f>
        <v>0.30386999999999997</v>
      </c>
      <c r="L22" s="16">
        <f t="shared" si="5"/>
        <v>0.39489278752436646</v>
      </c>
      <c r="M22" s="17" t="str">
        <f>IF(VLOOKUP($B22,'Tarifas e Resoluções'!$B$5:$M$44,10,FALSE)="","",VLOOKUP($B22,'Tarifas e Resoluções'!$B$5:$M$44,10,FALSE))</f>
        <v/>
      </c>
      <c r="N22" s="18" t="str">
        <f t="shared" si="6"/>
        <v/>
      </c>
      <c r="O22" s="19" t="str">
        <f t="shared" si="1"/>
        <v/>
      </c>
      <c r="Q22" s="20">
        <v>18</v>
      </c>
      <c r="R22" s="21" t="str">
        <f>VLOOKUP(T22,Rascunho!$M$4:$O$43,2,FALSE)</f>
        <v>COPEL</v>
      </c>
      <c r="S22" s="22" t="str">
        <f>VLOOKUP(T22,Rascunho!$M$4:$O$43,3,FALSE)</f>
        <v>PR</v>
      </c>
      <c r="T22" s="23">
        <f>LARGE(Rascunho!$M$4:$M$43,18)</f>
        <v>0.40701796181937877</v>
      </c>
    </row>
    <row r="23" spans="2:20" ht="15">
      <c r="B23" s="12" t="str">
        <f>'Tarifas e Resoluções'!B23</f>
        <v>Neoenergia RN (COSERN)</v>
      </c>
      <c r="C23" s="2" t="s">
        <v>137</v>
      </c>
      <c r="D23" s="13">
        <f>VLOOKUP(C23,Rascunho!$B$3:$C$29,2,FALSE)</f>
        <v>0.18</v>
      </c>
      <c r="E23" s="14">
        <f t="shared" si="2"/>
        <v>0.05</v>
      </c>
      <c r="F23" s="15">
        <f>VLOOKUP($B23,'Tarifas e Resoluções'!$B$5:$M$44,3,FALSE)</f>
        <v>0.48577999999999999</v>
      </c>
      <c r="G23" s="16">
        <f t="shared" si="3"/>
        <v>0.62359435173299105</v>
      </c>
      <c r="H23" s="17">
        <f>IF(VLOOKUP($B23,'Tarifas e Resoluções'!$B$5:$M$44,8,FALSE)="","",VLOOKUP($B23,'Tarifas e Resoluções'!$B$5:$M$44,8,FALSE))</f>
        <v>0.48553000000000002</v>
      </c>
      <c r="I23" s="18">
        <f t="shared" si="4"/>
        <v>0.6232734274711168</v>
      </c>
      <c r="J23" s="19">
        <f t="shared" si="0"/>
        <v>-5.1463625509495792E-4</v>
      </c>
      <c r="K23" s="15">
        <f>VLOOKUP($B23,'Tarifas e Resoluções'!$B$5:$M$44,5,FALSE)</f>
        <v>0.29476000000000002</v>
      </c>
      <c r="L23" s="16">
        <f t="shared" si="5"/>
        <v>0.37838254172015406</v>
      </c>
      <c r="M23" s="17">
        <f>IF(VLOOKUP($B23,'Tarifas e Resoluções'!$B$5:$M$44,10,FALSE)="","",VLOOKUP($B23,'Tarifas e Resoluções'!$B$5:$M$44,10,FALSE))</f>
        <v>0.28256999999999999</v>
      </c>
      <c r="N23" s="18">
        <f t="shared" si="6"/>
        <v>0.36273427471116815</v>
      </c>
      <c r="O23" s="19">
        <f t="shared" si="1"/>
        <v>-4.1355679196634632E-2</v>
      </c>
      <c r="Q23" s="20">
        <v>19</v>
      </c>
      <c r="R23" s="21" t="str">
        <f>VLOOKUP(T23,Rascunho!$M$4:$O$43,2,FALSE)</f>
        <v>Equatorial PI</v>
      </c>
      <c r="S23" s="22" t="str">
        <f>VLOOKUP(T23,Rascunho!$M$4:$O$43,3,FALSE)</f>
        <v>PI</v>
      </c>
      <c r="T23" s="23">
        <f>LARGE(Rascunho!$M$4:$M$43,19)</f>
        <v>0.40354378212433428</v>
      </c>
    </row>
    <row r="24" spans="2:20" ht="15">
      <c r="B24" s="12" t="str">
        <f>'Tarifas e Resoluções'!B24</f>
        <v>CELESC</v>
      </c>
      <c r="C24" s="2" t="s">
        <v>138</v>
      </c>
      <c r="D24" s="13">
        <f>VLOOKUP(C24,Rascunho!$B$3:$C$29,2,FALSE)</f>
        <v>0.17</v>
      </c>
      <c r="E24" s="14">
        <f t="shared" si="2"/>
        <v>0.05</v>
      </c>
      <c r="F24" s="15">
        <f>VLOOKUP($B24,'Tarifas e Resoluções'!$B$5:$M$44,3,FALSE)</f>
        <v>0.48363</v>
      </c>
      <c r="G24" s="16">
        <f t="shared" si="3"/>
        <v>0.61335447051363357</v>
      </c>
      <c r="H24" s="17">
        <f>IF(VLOOKUP($B24,'Tarifas e Resoluções'!$B$5:$M$44,8,FALSE)="","",VLOOKUP($B24,'Tarifas e Resoluções'!$B$5:$M$44,8,FALSE))</f>
        <v>0.52710999999999997</v>
      </c>
      <c r="I24" s="18">
        <f t="shared" si="4"/>
        <v>0.6684971464806595</v>
      </c>
      <c r="J24" s="19">
        <f t="shared" si="0"/>
        <v>8.9903438579078898E-2</v>
      </c>
      <c r="K24" s="15">
        <f>VLOOKUP($B24,'Tarifas e Resoluções'!$B$5:$M$44,5,FALSE)</f>
        <v>0.30123</v>
      </c>
      <c r="L24" s="16">
        <f t="shared" si="5"/>
        <v>0.38202916930881425</v>
      </c>
      <c r="M24" s="17">
        <f>IF(VLOOKUP($B24,'Tarifas e Resoluções'!$B$5:$M$44,10,FALSE)="","",VLOOKUP($B24,'Tarifas e Resoluções'!$B$5:$M$44,10,FALSE))</f>
        <v>0.32907999999999998</v>
      </c>
      <c r="N24" s="18">
        <f t="shared" si="6"/>
        <v>0.41734939759036144</v>
      </c>
      <c r="O24" s="19">
        <f t="shared" si="1"/>
        <v>9.2454270822958984E-2</v>
      </c>
      <c r="Q24" s="20">
        <v>20</v>
      </c>
      <c r="R24" s="21" t="str">
        <f>VLOOKUP(T24,Rascunho!$M$4:$O$43,2,FALSE)</f>
        <v>LIGHT (LIGHT SESA)</v>
      </c>
      <c r="S24" s="22" t="str">
        <f>VLOOKUP(T24,Rascunho!$M$4:$O$43,3,FALSE)</f>
        <v>RJ</v>
      </c>
      <c r="T24" s="23">
        <f>LARGE(Rascunho!$M$4:$M$43,20)</f>
        <v>0.40282337825596654</v>
      </c>
    </row>
    <row r="25" spans="2:20" ht="15">
      <c r="B25" s="12" t="str">
        <f>'Tarifas e Resoluções'!B25</f>
        <v>Roraima Energia (Boa Vista)</v>
      </c>
      <c r="C25" s="2" t="s">
        <v>139</v>
      </c>
      <c r="D25" s="13">
        <f>VLOOKUP(C25,Rascunho!$B$3:$C$29,2,FALSE)</f>
        <v>0.2</v>
      </c>
      <c r="E25" s="14">
        <f t="shared" si="2"/>
        <v>0.05</v>
      </c>
      <c r="F25" s="15">
        <f>VLOOKUP($B25,'Tarifas e Resoluções'!$B$5:$M$44,3,FALSE)</f>
        <v>0.50138000000000005</v>
      </c>
      <c r="G25" s="16">
        <f t="shared" si="3"/>
        <v>0.65971052631578952</v>
      </c>
      <c r="H25" s="17">
        <f>IF(VLOOKUP($B25,'Tarifas e Resoluções'!$B$5:$M$44,8,FALSE)="","",VLOOKUP($B25,'Tarifas e Resoluções'!$B$5:$M$44,8,FALSE))</f>
        <v>0.52553000000000005</v>
      </c>
      <c r="I25" s="18">
        <f t="shared" si="4"/>
        <v>0.69148684210526312</v>
      </c>
      <c r="J25" s="19">
        <f t="shared" si="0"/>
        <v>4.8167058917387928E-2</v>
      </c>
      <c r="K25" s="15">
        <f>VLOOKUP($B25,'Tarifas e Resoluções'!$B$5:$M$44,5,FALSE)</f>
        <v>0.28832000000000002</v>
      </c>
      <c r="L25" s="16">
        <f t="shared" si="5"/>
        <v>0.37936842105263163</v>
      </c>
      <c r="M25" s="17">
        <f>IF(VLOOKUP($B25,'Tarifas e Resoluções'!$B$5:$M$44,10,FALSE)="","",VLOOKUP($B25,'Tarifas e Resoluções'!$B$5:$M$44,10,FALSE))</f>
        <v>0.32733000000000001</v>
      </c>
      <c r="N25" s="18">
        <f t="shared" si="6"/>
        <v>0.43069736842105261</v>
      </c>
      <c r="O25" s="19">
        <f t="shared" si="1"/>
        <v>0.13530105438401763</v>
      </c>
      <c r="Q25" s="20">
        <v>21</v>
      </c>
      <c r="R25" s="21" t="str">
        <f>VLOOKUP(T25,Rascunho!$M$4:$O$43,2,FALSE)</f>
        <v>CEMIG</v>
      </c>
      <c r="S25" s="22" t="str">
        <f>VLOOKUP(T25,Rascunho!$M$4:$O$43,3,FALSE)</f>
        <v>MG</v>
      </c>
      <c r="T25" s="23">
        <f>LARGE(Rascunho!$M$4:$M$43,21)</f>
        <v>0.39852202507605472</v>
      </c>
    </row>
    <row r="26" spans="2:20" ht="15">
      <c r="B26" s="12" t="str">
        <f>'Tarifas e Resoluções'!B26</f>
        <v>Neoenergia Elektro (ELEKTRO)</v>
      </c>
      <c r="C26" s="2" t="s">
        <v>140</v>
      </c>
      <c r="D26" s="13">
        <f>VLOOKUP(C26,Rascunho!$B$3:$C$29,2,FALSE)</f>
        <v>0.18</v>
      </c>
      <c r="E26" s="14">
        <f t="shared" si="2"/>
        <v>0.05</v>
      </c>
      <c r="F26" s="15">
        <f>VLOOKUP($B26,'Tarifas e Resoluções'!$B$5:$M$44,3,FALSE)</f>
        <v>0.48004000000000002</v>
      </c>
      <c r="G26" s="16">
        <f t="shared" si="3"/>
        <v>0.61622593068035947</v>
      </c>
      <c r="H26" s="17">
        <f>IF(VLOOKUP($B26,'Tarifas e Resoluções'!$B$5:$M$44,8,FALSE)="","",VLOOKUP($B26,'Tarifas e Resoluções'!$B$5:$M$44,8,FALSE))</f>
        <v>0.49665999999999999</v>
      </c>
      <c r="I26" s="18">
        <f t="shared" si="4"/>
        <v>0.63756097560975611</v>
      </c>
      <c r="J26" s="19">
        <f t="shared" si="0"/>
        <v>3.4622114823764649E-2</v>
      </c>
      <c r="K26" s="15">
        <f>VLOOKUP($B26,'Tarifas e Resoluções'!$B$5:$M$44,5,FALSE)</f>
        <v>0.29731999999999997</v>
      </c>
      <c r="L26" s="16">
        <f t="shared" si="5"/>
        <v>0.38166880616174576</v>
      </c>
      <c r="M26" s="17">
        <f>IF(VLOOKUP($B26,'Tarifas e Resoluções'!$B$5:$M$44,10,FALSE)="","",VLOOKUP($B26,'Tarifas e Resoluções'!$B$5:$M$44,10,FALSE))</f>
        <v>0.31068000000000001</v>
      </c>
      <c r="N26" s="18">
        <f t="shared" si="6"/>
        <v>0.39881899871630294</v>
      </c>
      <c r="O26" s="19">
        <f t="shared" si="1"/>
        <v>4.493475043723949E-2</v>
      </c>
      <c r="Q26" s="20">
        <v>22</v>
      </c>
      <c r="R26" s="21" t="str">
        <f>VLOOKUP(T26,Rascunho!$M$4:$O$43,2,FALSE)</f>
        <v>Equatorial MA</v>
      </c>
      <c r="S26" s="22" t="str">
        <f>VLOOKUP(T26,Rascunho!$M$4:$O$43,3,FALSE)</f>
        <v>MA</v>
      </c>
      <c r="T26" s="23">
        <f>LARGE(Rascunho!$M$4:$M$43,22)</f>
        <v>0.39537796017969057</v>
      </c>
    </row>
    <row r="27" spans="2:20" ht="15">
      <c r="B27" s="12" t="str">
        <f>'Tarifas e Resoluções'!B27</f>
        <v>COPEL</v>
      </c>
      <c r="C27" s="2" t="s">
        <v>134</v>
      </c>
      <c r="D27" s="13">
        <f>VLOOKUP(C27,Rascunho!$B$3:$C$29,2,FALSE)</f>
        <v>0.19500000000000001</v>
      </c>
      <c r="E27" s="14">
        <f t="shared" si="2"/>
        <v>0.05</v>
      </c>
      <c r="F27" s="15">
        <f>VLOOKUP($B27,'Tarifas e Resoluções'!$B$5:$M$44,3,FALSE)</f>
        <v>0.41369</v>
      </c>
      <c r="G27" s="16">
        <f t="shared" si="3"/>
        <v>0.5409480222294869</v>
      </c>
      <c r="H27" s="17">
        <f>IF(VLOOKUP($B27,'Tarifas e Resoluções'!$B$5:$M$44,8,FALSE)="","",VLOOKUP($B27,'Tarifas e Resoluções'!$B$5:$M$44,8,FALSE))</f>
        <v>0.47554999999999997</v>
      </c>
      <c r="I27" s="18">
        <f t="shared" si="4"/>
        <v>0.62183720169990198</v>
      </c>
      <c r="J27" s="19">
        <f t="shared" si="0"/>
        <v>0.1495322584543981</v>
      </c>
      <c r="K27" s="15">
        <f>VLOOKUP($B27,'Tarifas e Resoluções'!$B$5:$M$44,5,FALSE)</f>
        <v>0.25751000000000002</v>
      </c>
      <c r="L27" s="16">
        <f t="shared" si="5"/>
        <v>0.33672441974501482</v>
      </c>
      <c r="M27" s="17">
        <f>IF(VLOOKUP($B27,'Tarifas e Resoluções'!$B$5:$M$44,10,FALSE)="","",VLOOKUP($B27,'Tarifas e Resoluções'!$B$5:$M$44,10,FALSE))</f>
        <v>0.29575000000000001</v>
      </c>
      <c r="N27" s="18">
        <f t="shared" si="6"/>
        <v>0.38672768878718539</v>
      </c>
      <c r="O27" s="19">
        <f t="shared" si="1"/>
        <v>0.1484990874140808</v>
      </c>
      <c r="Q27" s="20">
        <v>23</v>
      </c>
      <c r="R27" s="21" t="str">
        <f>VLOOKUP(T27,Rascunho!$M$4:$O$43,2,FALSE)</f>
        <v>Equatorial PA</v>
      </c>
      <c r="S27" s="22" t="str">
        <f>VLOOKUP(T27,Rascunho!$M$4:$O$43,3,FALSE)</f>
        <v>PA</v>
      </c>
      <c r="T27" s="23">
        <f>LARGE(Rascunho!$M$4:$M$43,23)</f>
        <v>0.39383990671758035</v>
      </c>
    </row>
    <row r="28" spans="2:20" ht="15">
      <c r="B28" s="12" t="str">
        <f>'Tarifas e Resoluções'!B28</f>
        <v>Enel CE</v>
      </c>
      <c r="C28" s="2" t="s">
        <v>141</v>
      </c>
      <c r="D28" s="13">
        <f>VLOOKUP(C28,Rascunho!$B$3:$C$29,2,FALSE)</f>
        <v>0.2</v>
      </c>
      <c r="E28" s="14">
        <f t="shared" si="2"/>
        <v>0.05</v>
      </c>
      <c r="F28" s="15">
        <f>VLOOKUP($B28,'Tarifas e Resoluções'!$B$5:$M$44,3,FALSE)</f>
        <v>0.37247000000000002</v>
      </c>
      <c r="G28" s="16">
        <f t="shared" si="3"/>
        <v>0.49009210526315794</v>
      </c>
      <c r="H28" s="17">
        <f>IF(VLOOKUP($B28,'Tarifas e Resoluções'!$B$5:$M$44,8,FALSE)="","",VLOOKUP($B28,'Tarifas e Resoluções'!$B$5:$M$44,8,FALSE))</f>
        <v>0.40920000000000001</v>
      </c>
      <c r="I28" s="18">
        <f t="shared" si="4"/>
        <v>0.53842105263157891</v>
      </c>
      <c r="J28" s="19">
        <f t="shared" si="0"/>
        <v>9.8611968749160894E-2</v>
      </c>
      <c r="K28" s="15">
        <f>VLOOKUP($B28,'Tarifas e Resoluções'!$B$5:$M$44,5,FALSE)</f>
        <v>0.23250000000000001</v>
      </c>
      <c r="L28" s="16">
        <f t="shared" si="5"/>
        <v>0.30592105263157893</v>
      </c>
      <c r="M28" s="17">
        <f>IF(VLOOKUP($B28,'Tarifas e Resoluções'!$B$5:$M$44,10,FALSE)="","",VLOOKUP($B28,'Tarifas e Resoluções'!$B$5:$M$44,10,FALSE))</f>
        <v>0.24531</v>
      </c>
      <c r="N28" s="18">
        <f t="shared" si="6"/>
        <v>0.32277631578947369</v>
      </c>
      <c r="O28" s="19">
        <f t="shared" si="1"/>
        <v>5.5096774193548415E-2</v>
      </c>
      <c r="Q28" s="20">
        <v>24</v>
      </c>
      <c r="R28" s="21" t="str">
        <f>VLOOKUP(T28,Rascunho!$M$4:$O$43,2,FALSE)</f>
        <v>Neoenergia RN (COSERN)</v>
      </c>
      <c r="S28" s="22" t="str">
        <f>VLOOKUP(T28,Rascunho!$M$4:$O$43,3,FALSE)</f>
        <v>RN</v>
      </c>
      <c r="T28" s="23">
        <f>LARGE(Rascunho!$M$4:$M$43,24)</f>
        <v>0.38521916049730071</v>
      </c>
    </row>
    <row r="29" spans="2:20" ht="15">
      <c r="B29" s="12" t="str">
        <f>'Tarifas e Resoluções'!B29</f>
        <v>Energisa SE (ESE)</v>
      </c>
      <c r="C29" s="2" t="s">
        <v>127</v>
      </c>
      <c r="D29" s="13">
        <f>VLOOKUP(C29,Rascunho!$B$3:$C$29,2,FALSE)</f>
        <v>0.2</v>
      </c>
      <c r="E29" s="14">
        <f t="shared" si="2"/>
        <v>0.05</v>
      </c>
      <c r="F29" s="15">
        <f>VLOOKUP($B29,'Tarifas e Resoluções'!$B$5:$M$44,3,FALSE)</f>
        <v>0.42649999999999999</v>
      </c>
      <c r="G29" s="16">
        <f t="shared" si="3"/>
        <v>0.56118421052631573</v>
      </c>
      <c r="H29" s="17">
        <f>IF(VLOOKUP($B29,'Tarifas e Resoluções'!$B$5:$M$44,8,FALSE)="","",VLOOKUP($B29,'Tarifas e Resoluções'!$B$5:$M$44,8,FALSE))</f>
        <v>0.46311000000000002</v>
      </c>
      <c r="I29" s="18">
        <f t="shared" si="4"/>
        <v>0.60935526315789479</v>
      </c>
      <c r="J29" s="19">
        <f t="shared" si="0"/>
        <v>8.583821805392744E-2</v>
      </c>
      <c r="K29" s="15">
        <f>VLOOKUP($B29,'Tarifas e Resoluções'!$B$5:$M$44,5,FALSE)</f>
        <v>0.25764999999999999</v>
      </c>
      <c r="L29" s="16">
        <f t="shared" si="5"/>
        <v>0.33901315789473679</v>
      </c>
      <c r="M29" s="17">
        <f>IF(VLOOKUP($B29,'Tarifas e Resoluções'!$B$5:$M$44,10,FALSE)="","",VLOOKUP($B29,'Tarifas e Resoluções'!$B$5:$M$44,10,FALSE))</f>
        <v>0.26488</v>
      </c>
      <c r="N29" s="18">
        <f t="shared" si="6"/>
        <v>0.34852631578947368</v>
      </c>
      <c r="O29" s="19">
        <f t="shared" si="1"/>
        <v>2.8061323500873314E-2</v>
      </c>
      <c r="Q29" s="20">
        <v>25</v>
      </c>
      <c r="R29" s="21" t="str">
        <f>VLOOKUP(T29,Rascunho!$M$4:$O$43,2,FALSE)</f>
        <v>COCEL</v>
      </c>
      <c r="S29" s="22" t="str">
        <f>VLOOKUP(T29,Rascunho!$M$4:$O$43,3,FALSE)</f>
        <v>PR</v>
      </c>
      <c r="T29" s="23">
        <f>LARGE(Rascunho!$M$4:$M$43,25)</f>
        <v>0.38387489868208347</v>
      </c>
    </row>
    <row r="30" spans="2:20" ht="15">
      <c r="B30" s="12" t="str">
        <f>'Tarifas e Resoluções'!B30</f>
        <v>CEEE Equatorial</v>
      </c>
      <c r="C30" s="2" t="s">
        <v>135</v>
      </c>
      <c r="D30" s="13">
        <f>VLOOKUP(C30,Rascunho!$B$3:$C$29,2,FALSE)</f>
        <v>0.17</v>
      </c>
      <c r="E30" s="14">
        <f t="shared" si="2"/>
        <v>0.05</v>
      </c>
      <c r="F30" s="15">
        <f>VLOOKUP($B30,'Tarifas e Resoluções'!$B$5:$M$44,3,FALSE)</f>
        <v>0.50961000000000001</v>
      </c>
      <c r="G30" s="16">
        <f t="shared" si="3"/>
        <v>0.64630310716550421</v>
      </c>
      <c r="H30" s="17" t="str">
        <f>IF(VLOOKUP($B30,'Tarifas e Resoluções'!$B$5:$M$44,8,FALSE)="","",VLOOKUP($B30,'Tarifas e Resoluções'!$B$5:$M$44,8,FALSE))</f>
        <v/>
      </c>
      <c r="I30" s="18" t="str">
        <f t="shared" si="4"/>
        <v/>
      </c>
      <c r="J30" s="19" t="str">
        <f t="shared" si="0"/>
        <v/>
      </c>
      <c r="K30" s="15">
        <f>VLOOKUP($B30,'Tarifas e Resoluções'!$B$5:$M$44,5,FALSE)</f>
        <v>0.32264999999999999</v>
      </c>
      <c r="L30" s="16">
        <f t="shared" si="5"/>
        <v>0.40919467343056443</v>
      </c>
      <c r="M30" s="17" t="str">
        <f>IF(VLOOKUP($B30,'Tarifas e Resoluções'!$B$5:$M$44,10,FALSE)="","",VLOOKUP($B30,'Tarifas e Resoluções'!$B$5:$M$44,10,FALSE))</f>
        <v/>
      </c>
      <c r="N30" s="18" t="str">
        <f t="shared" si="6"/>
        <v/>
      </c>
      <c r="O30" s="19" t="str">
        <f t="shared" si="1"/>
        <v/>
      </c>
      <c r="Q30" s="20">
        <v>26</v>
      </c>
      <c r="R30" s="21" t="str">
        <f>VLOOKUP(T30,Rascunho!$M$4:$O$43,2,FALSE)</f>
        <v>Energisa MT (EMT)</v>
      </c>
      <c r="S30" s="22" t="str">
        <f>VLOOKUP(T30,Rascunho!$M$4:$O$43,3,FALSE)</f>
        <v>MT</v>
      </c>
      <c r="T30" s="23">
        <f>LARGE(Rascunho!$M$4:$M$43,26)</f>
        <v>0.38316974313982682</v>
      </c>
    </row>
    <row r="31" spans="2:20" ht="15">
      <c r="B31" s="12" t="str">
        <f>'Tarifas e Resoluções'!B31</f>
        <v>CPFL Paulista</v>
      </c>
      <c r="C31" s="2" t="s">
        <v>140</v>
      </c>
      <c r="D31" s="13">
        <f>VLOOKUP(C31,Rascunho!$B$3:$C$29,2,FALSE)</f>
        <v>0.18</v>
      </c>
      <c r="E31" s="14">
        <f t="shared" si="2"/>
        <v>0.05</v>
      </c>
      <c r="F31" s="15">
        <f>VLOOKUP($B31,'Tarifas e Resoluções'!$B$5:$M$44,3,FALSE)</f>
        <v>0.44453999999999999</v>
      </c>
      <c r="G31" s="16">
        <f t="shared" si="3"/>
        <v>0.57065468549422327</v>
      </c>
      <c r="H31" s="17">
        <f>IF(VLOOKUP($B31,'Tarifas e Resoluções'!$B$5:$M$44,8,FALSE)="","",VLOOKUP($B31,'Tarifas e Resoluções'!$B$5:$M$44,8,FALSE))</f>
        <v>0.43187999999999999</v>
      </c>
      <c r="I31" s="18">
        <f t="shared" si="4"/>
        <v>0.5544030808729139</v>
      </c>
      <c r="J31" s="19">
        <f t="shared" si="0"/>
        <v>-2.8478877041436146E-2</v>
      </c>
      <c r="K31" s="15">
        <f>VLOOKUP($B31,'Tarifas e Resoluções'!$B$5:$M$44,5,FALSE)</f>
        <v>0.27118999999999999</v>
      </c>
      <c r="L31" s="16">
        <f t="shared" si="5"/>
        <v>0.34812580231065471</v>
      </c>
      <c r="M31" s="17">
        <f>IF(VLOOKUP($B31,'Tarifas e Resoluções'!$B$5:$M$44,10,FALSE)="","",VLOOKUP($B31,'Tarifas e Resoluções'!$B$5:$M$44,10,FALSE))</f>
        <v>0.27282000000000001</v>
      </c>
      <c r="N31" s="18">
        <f t="shared" si="6"/>
        <v>0.35021822849807449</v>
      </c>
      <c r="O31" s="19">
        <f t="shared" si="1"/>
        <v>6.0105461115822489E-3</v>
      </c>
      <c r="Q31" s="20">
        <v>27</v>
      </c>
      <c r="R31" s="21" t="str">
        <f>VLOOKUP(T31,Rascunho!$M$4:$O$43,2,FALSE)</f>
        <v>CHESP</v>
      </c>
      <c r="S31" s="22" t="str">
        <f>VLOOKUP(T31,Rascunho!$M$4:$O$43,3,FALSE)</f>
        <v>GO</v>
      </c>
      <c r="T31" s="23">
        <f>LARGE(Rascunho!$M$4:$M$43,27)</f>
        <v>0.37192532065831757</v>
      </c>
    </row>
    <row r="32" spans="2:20" ht="15">
      <c r="B32" s="12" t="str">
        <f>'Tarifas e Resoluções'!B32</f>
        <v>CPFL Piratininga</v>
      </c>
      <c r="C32" s="2" t="s">
        <v>140</v>
      </c>
      <c r="D32" s="13">
        <f>VLOOKUP(C32,Rascunho!$B$3:$C$29,2,FALSE)</f>
        <v>0.18</v>
      </c>
      <c r="E32" s="14">
        <f t="shared" si="2"/>
        <v>0.05</v>
      </c>
      <c r="F32" s="15">
        <f>VLOOKUP($B32,'Tarifas e Resoluções'!$B$5:$M$44,3,FALSE)</f>
        <v>0.51344999999999996</v>
      </c>
      <c r="G32" s="16">
        <f t="shared" si="3"/>
        <v>0.65911424903722715</v>
      </c>
      <c r="H32" s="17" t="str">
        <f>IF(VLOOKUP($B32,'Tarifas e Resoluções'!$B$5:$M$44,8,FALSE)="","",VLOOKUP($B32,'Tarifas e Resoluções'!$B$5:$M$44,8,FALSE))</f>
        <v/>
      </c>
      <c r="I32" s="18" t="str">
        <f t="shared" si="4"/>
        <v/>
      </c>
      <c r="J32" s="19" t="str">
        <f t="shared" si="0"/>
        <v/>
      </c>
      <c r="K32" s="15">
        <f>VLOOKUP($B32,'Tarifas e Resoluções'!$B$5:$M$44,5,FALSE)</f>
        <v>0.32277</v>
      </c>
      <c r="L32" s="16">
        <f t="shared" si="5"/>
        <v>0.41433889602053919</v>
      </c>
      <c r="M32" s="17" t="str">
        <f>IF(VLOOKUP($B32,'Tarifas e Resoluções'!$B$5:$M$44,10,FALSE)="","",VLOOKUP($B32,'Tarifas e Resoluções'!$B$5:$M$44,10,FALSE))</f>
        <v/>
      </c>
      <c r="N32" s="18" t="str">
        <f t="shared" si="6"/>
        <v/>
      </c>
      <c r="O32" s="19" t="str">
        <f t="shared" si="1"/>
        <v/>
      </c>
      <c r="Q32" s="20">
        <v>28</v>
      </c>
      <c r="R32" s="21" t="str">
        <f>VLOOKUP(T32,Rascunho!$M$4:$O$43,2,FALSE)</f>
        <v>Energisa SE (ESE)</v>
      </c>
      <c r="S32" s="22" t="str">
        <f>VLOOKUP(T32,Rascunho!$M$4:$O$43,3,FALSE)</f>
        <v>SE</v>
      </c>
      <c r="T32" s="23">
        <f>LARGE(Rascunho!$M$4:$M$43,28)</f>
        <v>0.37103621124729635</v>
      </c>
    </row>
    <row r="33" spans="2:20" ht="15">
      <c r="B33" s="12" t="str">
        <f>'Tarifas e Resoluções'!B33</f>
        <v>EDP SP</v>
      </c>
      <c r="C33" s="2" t="s">
        <v>140</v>
      </c>
      <c r="D33" s="13">
        <f>VLOOKUP(C33,Rascunho!$B$3:$C$29,2,FALSE)</f>
        <v>0.18</v>
      </c>
      <c r="E33" s="14">
        <f t="shared" si="2"/>
        <v>0.05</v>
      </c>
      <c r="F33" s="15">
        <f>VLOOKUP($B33,'Tarifas e Resoluções'!$B$5:$M$44,3,FALSE)</f>
        <v>0.48903000000000002</v>
      </c>
      <c r="G33" s="16">
        <f t="shared" si="3"/>
        <v>0.62776636713735567</v>
      </c>
      <c r="H33" s="17" t="str">
        <f>IF(VLOOKUP($B33,'Tarifas e Resoluções'!$B$5:$M$44,8,FALSE)="","",VLOOKUP($B33,'Tarifas e Resoluções'!$B$5:$M$44,8,FALSE))</f>
        <v/>
      </c>
      <c r="I33" s="18" t="str">
        <f t="shared" si="4"/>
        <v/>
      </c>
      <c r="J33" s="19" t="str">
        <f t="shared" si="0"/>
        <v/>
      </c>
      <c r="K33" s="15">
        <f>VLOOKUP($B33,'Tarifas e Resoluções'!$B$5:$M$44,5,FALSE)</f>
        <v>0.30923</v>
      </c>
      <c r="L33" s="16">
        <f t="shared" si="5"/>
        <v>0.39695763799743256</v>
      </c>
      <c r="M33" s="17" t="str">
        <f>IF(VLOOKUP($B33,'Tarifas e Resoluções'!$B$5:$M$44,10,FALSE)="","",VLOOKUP($B33,'Tarifas e Resoluções'!$B$5:$M$44,10,FALSE))</f>
        <v/>
      </c>
      <c r="N33" s="18" t="str">
        <f t="shared" si="6"/>
        <v/>
      </c>
      <c r="O33" s="19" t="str">
        <f t="shared" si="1"/>
        <v/>
      </c>
      <c r="Q33" s="20">
        <v>29</v>
      </c>
      <c r="R33" s="21" t="str">
        <f>VLOOKUP(T33,Rascunho!$M$4:$O$43,2,FALSE)</f>
        <v>CPFL Paulista</v>
      </c>
      <c r="S33" s="22" t="str">
        <f>VLOOKUP(T33,Rascunho!$M$4:$O$43,3,FALSE)</f>
        <v>SP</v>
      </c>
      <c r="T33" s="23">
        <f>LARGE(Rascunho!$M$4:$M$43,29)</f>
        <v>0.36783966096330034</v>
      </c>
    </row>
    <row r="34" spans="2:20" ht="15">
      <c r="B34" s="12" t="str">
        <f>'Tarifas e Resoluções'!B34</f>
        <v>Neoenergia Brasília (CEB)</v>
      </c>
      <c r="C34" s="2" t="s">
        <v>142</v>
      </c>
      <c r="D34" s="13">
        <f>VLOOKUP(C34,Rascunho!$B$3:$C$29,2,FALSE)</f>
        <v>0.2</v>
      </c>
      <c r="E34" s="14">
        <f t="shared" si="2"/>
        <v>0.05</v>
      </c>
      <c r="F34" s="15">
        <f>VLOOKUP($B34,'Tarifas e Resoluções'!$B$5:$M$44,3,FALSE)</f>
        <v>0.60224999999999995</v>
      </c>
      <c r="G34" s="16">
        <f t="shared" si="3"/>
        <v>0.79243421052631569</v>
      </c>
      <c r="H34" s="17" t="str">
        <f>IF(VLOOKUP($B34,'Tarifas e Resoluções'!$B$5:$M$44,8,FALSE)="","",VLOOKUP($B34,'Tarifas e Resoluções'!$B$5:$M$44,8,FALSE))</f>
        <v/>
      </c>
      <c r="I34" s="18" t="str">
        <f t="shared" si="4"/>
        <v/>
      </c>
      <c r="J34" s="19" t="str">
        <f t="shared" si="0"/>
        <v/>
      </c>
      <c r="K34" s="15">
        <f>VLOOKUP($B34,'Tarifas e Resoluções'!$B$5:$M$44,5,FALSE)</f>
        <v>0.37795000000000001</v>
      </c>
      <c r="L34" s="16">
        <f t="shared" si="5"/>
        <v>0.49730263157894739</v>
      </c>
      <c r="M34" s="17" t="str">
        <f>IF(VLOOKUP($B34,'Tarifas e Resoluções'!$B$5:$M$44,10,FALSE)="","",VLOOKUP($B34,'Tarifas e Resoluções'!$B$5:$M$44,10,FALSE))</f>
        <v/>
      </c>
      <c r="N34" s="18" t="str">
        <f t="shared" si="6"/>
        <v/>
      </c>
      <c r="O34" s="19" t="str">
        <f t="shared" si="1"/>
        <v/>
      </c>
      <c r="Q34" s="20">
        <v>30</v>
      </c>
      <c r="R34" s="21" t="str">
        <f>VLOOKUP(T34,Rascunho!$M$4:$O$43,2,FALSE)</f>
        <v>Neoenergia PE</v>
      </c>
      <c r="S34" s="22" t="str">
        <f>VLOOKUP(T34,Rascunho!$M$4:$O$43,3,FALSE)</f>
        <v>PE</v>
      </c>
      <c r="T34" s="23">
        <f>LARGE(Rascunho!$M$4:$M$43,30)</f>
        <v>0.35884006475221392</v>
      </c>
    </row>
    <row r="35" spans="2:20" ht="15">
      <c r="B35" s="12" t="str">
        <f>'Tarifas e Resoluções'!B35</f>
        <v>Enel RJ</v>
      </c>
      <c r="C35" s="2" t="s">
        <v>124</v>
      </c>
      <c r="D35" s="13">
        <f>VLOOKUP(C35,Rascunho!$B$3:$C$29,2,FALSE)</f>
        <v>0.22</v>
      </c>
      <c r="E35" s="14">
        <f t="shared" si="2"/>
        <v>0.05</v>
      </c>
      <c r="F35" s="15">
        <f>VLOOKUP($B35,'Tarifas e Resoluções'!$B$5:$M$44,3,FALSE)</f>
        <v>0.44590999999999997</v>
      </c>
      <c r="G35" s="16">
        <f t="shared" si="3"/>
        <v>0.60176788124156544</v>
      </c>
      <c r="H35" s="17">
        <f>IF(VLOOKUP($B35,'Tarifas e Resoluções'!$B$5:$M$44,8,FALSE)="","",VLOOKUP($B35,'Tarifas e Resoluções'!$B$5:$M$44,8,FALSE))</f>
        <v>0.48969000000000001</v>
      </c>
      <c r="I35" s="18">
        <f t="shared" si="4"/>
        <v>0.66085020242914982</v>
      </c>
      <c r="J35" s="19">
        <f t="shared" si="0"/>
        <v>9.8181247336906585E-2</v>
      </c>
      <c r="K35" s="15">
        <f>VLOOKUP($B35,'Tarifas e Resoluções'!$B$5:$M$44,5,FALSE)</f>
        <v>0.27728000000000003</v>
      </c>
      <c r="L35" s="16">
        <f t="shared" si="5"/>
        <v>0.37419703103913632</v>
      </c>
      <c r="M35" s="17">
        <f>IF(VLOOKUP($B35,'Tarifas e Resoluções'!$B$5:$M$44,10,FALSE)="","",VLOOKUP($B35,'Tarifas e Resoluções'!$B$5:$M$44,10,FALSE))</f>
        <v>0.31086000000000003</v>
      </c>
      <c r="N35" s="18">
        <f t="shared" si="6"/>
        <v>0.41951417004048586</v>
      </c>
      <c r="O35" s="19">
        <f t="shared" si="1"/>
        <v>0.12110502019619163</v>
      </c>
      <c r="Q35" s="20">
        <v>31</v>
      </c>
      <c r="R35" s="21" t="str">
        <f>VLOOKUP(T35,Rascunho!$M$4:$O$43,2,FALSE)</f>
        <v>FORCEL (Pacto Energia PR)</v>
      </c>
      <c r="S35" s="22" t="str">
        <f>VLOOKUP(T35,Rascunho!$M$4:$O$43,3,FALSE)</f>
        <v>PR</v>
      </c>
      <c r="T35" s="23">
        <f>LARGE(Rascunho!$M$4:$M$43,31)</f>
        <v>0.34730345219809505</v>
      </c>
    </row>
    <row r="36" spans="2:20" ht="15">
      <c r="B36" s="12" t="str">
        <f>'Tarifas e Resoluções'!B36</f>
        <v>Enel SP (ELETROPAULO)</v>
      </c>
      <c r="C36" s="2" t="s">
        <v>140</v>
      </c>
      <c r="D36" s="13">
        <f>VLOOKUP(C36,Rascunho!$B$3:$C$29,2,FALSE)</f>
        <v>0.18</v>
      </c>
      <c r="E36" s="14">
        <f t="shared" si="2"/>
        <v>0.05</v>
      </c>
      <c r="F36" s="15">
        <f>VLOOKUP($B36,'Tarifas e Resoluções'!$B$5:$M$44,3,FALSE)</f>
        <v>0.43913000000000002</v>
      </c>
      <c r="G36" s="16">
        <f t="shared" si="3"/>
        <v>0.56370988446726578</v>
      </c>
      <c r="H36" s="17">
        <f>IF(VLOOKUP($B36,'Tarifas e Resoluções'!$B$5:$M$44,8,FALSE)="","",VLOOKUP($B36,'Tarifas e Resoluções'!$B$5:$M$44,8,FALSE))</f>
        <v>0.48242000000000002</v>
      </c>
      <c r="I36" s="18">
        <f t="shared" si="4"/>
        <v>0.61928112965340176</v>
      </c>
      <c r="J36" s="19">
        <f t="shared" si="0"/>
        <v>9.858128572404512E-2</v>
      </c>
      <c r="K36" s="15">
        <f>VLOOKUP($B36,'Tarifas e Resoluções'!$B$5:$M$44,5,FALSE)</f>
        <v>0.27354000000000001</v>
      </c>
      <c r="L36" s="16">
        <f t="shared" si="5"/>
        <v>0.35114249037227213</v>
      </c>
      <c r="M36" s="17">
        <f>IF(VLOOKUP($B36,'Tarifas e Resoluções'!$B$5:$M$44,10,FALSE)="","",VLOOKUP($B36,'Tarifas e Resoluções'!$B$5:$M$44,10,FALSE))</f>
        <v>0.30187999999999998</v>
      </c>
      <c r="N36" s="18">
        <f t="shared" si="6"/>
        <v>0.38752246469833118</v>
      </c>
      <c r="O36" s="19">
        <f t="shared" si="1"/>
        <v>0.10360459165021574</v>
      </c>
      <c r="Q36" s="20">
        <v>32</v>
      </c>
      <c r="R36" s="21" t="str">
        <f>VLOOKUP(T36,Rascunho!$M$4:$O$43,2,FALSE)</f>
        <v>Energisa PB (EPB)</v>
      </c>
      <c r="S36" s="22" t="str">
        <f>VLOOKUP(T36,Rascunho!$M$4:$O$43,3,FALSE)</f>
        <v>PB</v>
      </c>
      <c r="T36" s="23">
        <f>LARGE(Rascunho!$M$4:$M$43,32)</f>
        <v>0.34361528478731068</v>
      </c>
    </row>
    <row r="37" spans="2:20" ht="15">
      <c r="B37" s="12" t="str">
        <f>'Tarifas e Resoluções'!B37</f>
        <v>Amazonas Energia</v>
      </c>
      <c r="C37" s="2" t="s">
        <v>143</v>
      </c>
      <c r="D37" s="13">
        <f>VLOOKUP(C37,Rascunho!$B$3:$C$29,2,FALSE)</f>
        <v>0.2</v>
      </c>
      <c r="E37" s="14">
        <f t="shared" si="2"/>
        <v>0.05</v>
      </c>
      <c r="F37" s="15">
        <f>VLOOKUP($B37,'Tarifas e Resoluções'!$B$5:$M$44,3,FALSE)</f>
        <v>0.53037999999999996</v>
      </c>
      <c r="G37" s="16">
        <f t="shared" si="3"/>
        <v>0.69786842105263158</v>
      </c>
      <c r="H37" s="17">
        <f>IF(VLOOKUP($B37,'Tarifas e Resoluções'!$B$5:$M$44,8,FALSE)="","",VLOOKUP($B37,'Tarifas e Resoluções'!$B$5:$M$44,8,FALSE))</f>
        <v>0.55479000000000001</v>
      </c>
      <c r="I37" s="18">
        <f t="shared" si="4"/>
        <v>0.72998684210526321</v>
      </c>
      <c r="J37" s="19">
        <f t="shared" si="0"/>
        <v>4.6023605716656091E-2</v>
      </c>
      <c r="K37" s="15">
        <f>VLOOKUP($B37,'Tarifas e Resoluções'!$B$5:$M$44,5,FALSE)</f>
        <v>0.32926</v>
      </c>
      <c r="L37" s="16">
        <f t="shared" si="5"/>
        <v>0.4332368421052632</v>
      </c>
      <c r="M37" s="17">
        <f>IF(VLOOKUP($B37,'Tarifas e Resoluções'!$B$5:$M$44,10,FALSE)="","",VLOOKUP($B37,'Tarifas e Resoluções'!$B$5:$M$44,10,FALSE))</f>
        <v>0.29065999999999997</v>
      </c>
      <c r="N37" s="18">
        <f t="shared" si="6"/>
        <v>0.38244736842105259</v>
      </c>
      <c r="O37" s="19">
        <f t="shared" si="1"/>
        <v>-0.11723258215392107</v>
      </c>
      <c r="Q37" s="20">
        <v>33</v>
      </c>
      <c r="R37" s="21" t="str">
        <f>VLOOKUP(T37,Rascunho!$M$4:$O$43,2,FALSE)</f>
        <v>Enel CE</v>
      </c>
      <c r="S37" s="22" t="str">
        <f>VLOOKUP(T37,Rascunho!$M$4:$O$43,3,FALSE)</f>
        <v>CE</v>
      </c>
      <c r="T37" s="23">
        <f>LARGE(Rascunho!$M$4:$M$43,33)</f>
        <v>0.34138675198269647</v>
      </c>
    </row>
    <row r="38" spans="2:20" ht="15">
      <c r="B38" s="12" t="str">
        <f>'Tarifas e Resoluções'!B38</f>
        <v>Energisa Sul-Sudeste (ESS)</v>
      </c>
      <c r="C38" s="2" t="s">
        <v>140</v>
      </c>
      <c r="D38" s="13">
        <f>VLOOKUP(C38,Rascunho!$B$3:$C$29,2,FALSE)</f>
        <v>0.18</v>
      </c>
      <c r="E38" s="14">
        <f t="shared" si="2"/>
        <v>0.05</v>
      </c>
      <c r="F38" s="15">
        <f>VLOOKUP($B38,'Tarifas e Resoluções'!$B$5:$M$44,3,FALSE)</f>
        <v>0.48664000000000002</v>
      </c>
      <c r="G38" s="16">
        <f t="shared" si="3"/>
        <v>0.62469833119383822</v>
      </c>
      <c r="H38" s="17">
        <f>IF(VLOOKUP($B38,'Tarifas e Resoluções'!$B$5:$M$44,8,FALSE)="","",VLOOKUP($B38,'Tarifas e Resoluções'!$B$5:$M$44,8,FALSE))</f>
        <v>0.49245</v>
      </c>
      <c r="I38" s="18">
        <f t="shared" si="4"/>
        <v>0.63215661103979459</v>
      </c>
      <c r="J38" s="19">
        <f t="shared" si="0"/>
        <v>1.1939010356731838E-2</v>
      </c>
      <c r="K38" s="15">
        <f>VLOOKUP($B38,'Tarifas e Resoluções'!$B$5:$M$44,5,FALSE)</f>
        <v>0.30118</v>
      </c>
      <c r="L38" s="16">
        <f t="shared" si="5"/>
        <v>0.38662387676508342</v>
      </c>
      <c r="M38" s="17">
        <f>IF(VLOOKUP($B38,'Tarifas e Resoluções'!$B$5:$M$44,10,FALSE)="","",VLOOKUP($B38,'Tarifas e Resoluções'!$B$5:$M$44,10,FALSE))</f>
        <v>0.30580000000000002</v>
      </c>
      <c r="N38" s="18">
        <f t="shared" si="6"/>
        <v>0.39255455712451859</v>
      </c>
      <c r="O38" s="19">
        <f t="shared" si="1"/>
        <v>1.5339663988312546E-2</v>
      </c>
      <c r="Q38" s="20">
        <v>34</v>
      </c>
      <c r="R38" s="21" t="str">
        <f>VLOOKUP(T38,Rascunho!$M$4:$O$43,2,FALSE)</f>
        <v>Neoenergia BA (COELBA)</v>
      </c>
      <c r="S38" s="22" t="str">
        <f>VLOOKUP(T38,Rascunho!$M$4:$O$43,3,FALSE)</f>
        <v>BA</v>
      </c>
      <c r="T38" s="23">
        <f>LARGE(Rascunho!$M$4:$M$43,34)</f>
        <v>0.32475978013613743</v>
      </c>
    </row>
    <row r="39" spans="2:20" ht="15">
      <c r="B39" s="12" t="str">
        <f>'Tarifas e Resoluções'!B39</f>
        <v>Equatorial AP (CEA)</v>
      </c>
      <c r="C39" s="2" t="s">
        <v>144</v>
      </c>
      <c r="D39" s="13">
        <f>VLOOKUP(C39,Rascunho!$B$3:$C$29,2,FALSE)</f>
        <v>0.18</v>
      </c>
      <c r="E39" s="14">
        <f t="shared" si="2"/>
        <v>0.05</v>
      </c>
      <c r="F39" s="15">
        <f>VLOOKUP($B39,'Tarifas e Resoluções'!$B$5:$M$44,3,FALSE)</f>
        <v>0.35981000000000002</v>
      </c>
      <c r="G39" s="16">
        <f t="shared" si="3"/>
        <v>0.46188703465982028</v>
      </c>
      <c r="H39" s="17">
        <f>IF(VLOOKUP($B39,'Tarifas e Resoluções'!$B$5:$M$44,8,FALSE)="","",VLOOKUP($B39,'Tarifas e Resoluções'!$B$5:$M$44,8,FALSE))</f>
        <v>0.26573000000000002</v>
      </c>
      <c r="I39" s="18">
        <f t="shared" si="4"/>
        <v>0.34111681643132225</v>
      </c>
      <c r="J39" s="19">
        <f t="shared" si="0"/>
        <v>-0.26147133209193729</v>
      </c>
      <c r="K39" s="15">
        <f>VLOOKUP($B39,'Tarifas e Resoluções'!$B$5:$M$44,5,FALSE)</f>
        <v>0.19381000000000001</v>
      </c>
      <c r="L39" s="16">
        <f t="shared" si="5"/>
        <v>0.24879332477535304</v>
      </c>
      <c r="M39" s="17">
        <f>IF(VLOOKUP($B39,'Tarifas e Resoluções'!$B$5:$M$44,10,FALSE)="","",VLOOKUP($B39,'Tarifas e Resoluções'!$B$5:$M$44,10,FALSE))</f>
        <v>7.571E-2</v>
      </c>
      <c r="N39" s="18">
        <f t="shared" si="6"/>
        <v>9.7188703465982018E-2</v>
      </c>
      <c r="O39" s="19">
        <f t="shared" si="1"/>
        <v>-0.60935968216294323</v>
      </c>
      <c r="Q39" s="20">
        <v>35</v>
      </c>
      <c r="R39" s="21" t="str">
        <f>VLOOKUP(T39,Rascunho!$M$4:$O$43,2,FALSE)</f>
        <v>CPFL Santa Cruz</v>
      </c>
      <c r="S39" s="22" t="str">
        <f>VLOOKUP(T39,Rascunho!$M$4:$O$43,3,FALSE)</f>
        <v>SP</v>
      </c>
      <c r="T39" s="23">
        <f>LARGE(Rascunho!$M$4:$M$43,35)</f>
        <v>0.31944189072748691</v>
      </c>
    </row>
    <row r="40" spans="2:20" ht="15">
      <c r="B40" s="12" t="str">
        <f>'Tarifas e Resoluções'!B40</f>
        <v>CHESP</v>
      </c>
      <c r="C40" s="2" t="s">
        <v>136</v>
      </c>
      <c r="D40" s="13">
        <f>VLOOKUP(C40,Rascunho!$B$3:$C$29,2,FALSE)</f>
        <v>0.19</v>
      </c>
      <c r="E40" s="14">
        <f t="shared" si="2"/>
        <v>0.05</v>
      </c>
      <c r="F40" s="15">
        <f>VLOOKUP($B40,'Tarifas e Resoluções'!$B$5:$M$44,3,FALSE)</f>
        <v>0.43109999999999998</v>
      </c>
      <c r="G40" s="16">
        <f t="shared" si="3"/>
        <v>0.56023391812865497</v>
      </c>
      <c r="H40" s="17" t="str">
        <f>IF(VLOOKUP($B40,'Tarifas e Resoluções'!$B$5:$M$44,8,FALSE)="","",VLOOKUP($B40,'Tarifas e Resoluções'!$B$5:$M$44,8,FALSE))</f>
        <v/>
      </c>
      <c r="I40" s="18" t="str">
        <f t="shared" si="4"/>
        <v/>
      </c>
      <c r="J40" s="19" t="str">
        <f t="shared" si="0"/>
        <v/>
      </c>
      <c r="K40" s="15">
        <f>VLOOKUP($B40,'Tarifas e Resoluções'!$B$5:$M$44,5,FALSE)</f>
        <v>0.27250999999999997</v>
      </c>
      <c r="L40" s="16">
        <f t="shared" si="5"/>
        <v>0.35413905133203377</v>
      </c>
      <c r="M40" s="17" t="str">
        <f>IF(VLOOKUP($B40,'Tarifas e Resoluções'!$B$5:$M$44,10,FALSE)="","",VLOOKUP($B40,'Tarifas e Resoluções'!$B$5:$M$44,10,FALSE))</f>
        <v/>
      </c>
      <c r="N40" s="18" t="str">
        <f t="shared" si="6"/>
        <v/>
      </c>
      <c r="O40" s="19" t="str">
        <f t="shared" si="1"/>
        <v/>
      </c>
      <c r="Q40" s="20">
        <v>36</v>
      </c>
      <c r="R40" s="21" t="str">
        <f>VLOOKUP(T40,Rascunho!$M$4:$O$43,2,FALSE)</f>
        <v>SULGIPE</v>
      </c>
      <c r="S40" s="22" t="str">
        <f>VLOOKUP(T40,Rascunho!$M$4:$O$43,3,FALSE)</f>
        <v>SE</v>
      </c>
      <c r="T40" s="23">
        <f>LARGE(Rascunho!$M$4:$M$43,36)</f>
        <v>0.30903691420331647</v>
      </c>
    </row>
    <row r="41" spans="2:20" ht="15">
      <c r="B41" s="12" t="str">
        <f>'Tarifas e Resoluções'!B41</f>
        <v>CPFL Santa Cruz</v>
      </c>
      <c r="C41" s="2" t="s">
        <v>140</v>
      </c>
      <c r="D41" s="13">
        <f>VLOOKUP(C41,Rascunho!$B$3:$C$29,2,FALSE)</f>
        <v>0.18</v>
      </c>
      <c r="E41" s="14">
        <f t="shared" si="2"/>
        <v>0.05</v>
      </c>
      <c r="F41" s="15">
        <f>VLOOKUP($B41,'Tarifas e Resoluções'!$B$5:$M$44,3,FALSE)</f>
        <v>0.38313000000000003</v>
      </c>
      <c r="G41" s="16">
        <f t="shared" si="3"/>
        <v>0.49182284980744545</v>
      </c>
      <c r="H41" s="17">
        <f>IF(VLOOKUP($B41,'Tarifas e Resoluções'!$B$5:$M$44,8,FALSE)="","",VLOOKUP($B41,'Tarifas e Resoluções'!$B$5:$M$44,8,FALSE))</f>
        <v>0.37615999999999999</v>
      </c>
      <c r="I41" s="18">
        <f t="shared" si="4"/>
        <v>0.4828754813863928</v>
      </c>
      <c r="J41" s="19">
        <f t="shared" si="0"/>
        <v>-1.8192258502336078E-2</v>
      </c>
      <c r="K41" s="15">
        <f>VLOOKUP($B41,'Tarifas e Resoluções'!$B$5:$M$44,5,FALSE)</f>
        <v>0.23230999999999999</v>
      </c>
      <c r="L41" s="16">
        <f t="shared" si="5"/>
        <v>0.29821566110397946</v>
      </c>
      <c r="M41" s="17">
        <f>IF(VLOOKUP($B41,'Tarifas e Resoluções'!$B$5:$M$44,10,FALSE)="","",VLOOKUP($B41,'Tarifas e Resoluções'!$B$5:$M$44,10,FALSE))</f>
        <v>0.23682</v>
      </c>
      <c r="N41" s="18">
        <f t="shared" si="6"/>
        <v>0.30400513478818997</v>
      </c>
      <c r="O41" s="19">
        <f t="shared" si="1"/>
        <v>1.94137144333002E-2</v>
      </c>
      <c r="Q41" s="20">
        <v>37</v>
      </c>
      <c r="R41" s="21" t="str">
        <f>VLOOKUP(T41,Rascunho!$M$4:$O$43,2,FALSE)</f>
        <v>Energisa RO (ERO)</v>
      </c>
      <c r="S41" s="22" t="str">
        <f>VLOOKUP(T41,Rascunho!$M$4:$O$43,3,FALSE)</f>
        <v>RO</v>
      </c>
      <c r="T41" s="23">
        <f>LARGE(Rascunho!$M$4:$M$43,37)</f>
        <v>0.28295670086472885</v>
      </c>
    </row>
    <row r="42" spans="2:20" ht="15">
      <c r="B42" s="12" t="str">
        <f>'Tarifas e Resoluções'!B42</f>
        <v>Energisa Minas Rio (EMR)</v>
      </c>
      <c r="C42" s="2" t="s">
        <v>132</v>
      </c>
      <c r="D42" s="13">
        <f>VLOOKUP(C42,Rascunho!$B$3:$C$29,2,FALSE)</f>
        <v>0.18</v>
      </c>
      <c r="E42" s="14">
        <f t="shared" si="2"/>
        <v>0.05</v>
      </c>
      <c r="F42" s="15">
        <f>VLOOKUP($B42,'Tarifas e Resoluções'!$B$5:$M$44,3,FALSE)</f>
        <v>0.53732999999999997</v>
      </c>
      <c r="G42" s="16">
        <f t="shared" si="3"/>
        <v>0.68976893453145049</v>
      </c>
      <c r="H42" s="17">
        <f>IF(VLOOKUP($B42,'Tarifas e Resoluções'!$B$5:$M$44,8,FALSE)="","",VLOOKUP($B42,'Tarifas e Resoluções'!$B$5:$M$44,8,FALSE))</f>
        <v>0.55717000000000005</v>
      </c>
      <c r="I42" s="18">
        <f t="shared" si="4"/>
        <v>0.71523748395378706</v>
      </c>
      <c r="J42" s="19">
        <f t="shared" si="0"/>
        <v>3.6923305975843812E-2</v>
      </c>
      <c r="K42" s="15">
        <f>VLOOKUP($B42,'Tarifas e Resoluções'!$B$5:$M$44,5,FALSE)</f>
        <v>0.33241999999999999</v>
      </c>
      <c r="L42" s="16">
        <f t="shared" si="5"/>
        <v>0.42672657252888319</v>
      </c>
      <c r="M42" s="17">
        <f>IF(VLOOKUP($B42,'Tarifas e Resoluções'!$B$5:$M$44,10,FALSE)="","",VLOOKUP($B42,'Tarifas e Resoluções'!$B$5:$M$44,10,FALSE))</f>
        <v>0.34290999999999999</v>
      </c>
      <c r="N42" s="18">
        <f t="shared" si="6"/>
        <v>0.44019255455712447</v>
      </c>
      <c r="O42" s="19">
        <f t="shared" si="1"/>
        <v>3.1556464713314414E-2</v>
      </c>
      <c r="Q42" s="20">
        <v>38</v>
      </c>
      <c r="R42" s="21" t="str">
        <f>VLOOKUP(T42,Rascunho!$M$4:$O$43,2,FALSE)</f>
        <v>Equatorial AL</v>
      </c>
      <c r="S42" s="22" t="str">
        <f>VLOOKUP(T42,Rascunho!$M$4:$O$43,3,FALSE)</f>
        <v>AL</v>
      </c>
      <c r="T42" s="23">
        <f>LARGE(Rascunho!$M$4:$M$43,38)</f>
        <v>0.27476283345349667</v>
      </c>
    </row>
    <row r="43" spans="2:20" ht="15">
      <c r="B43" s="12" t="str">
        <f>'Tarifas e Resoluções'!B43</f>
        <v>EDP ES</v>
      </c>
      <c r="C43" s="2" t="s">
        <v>145</v>
      </c>
      <c r="D43" s="13">
        <f>VLOOKUP(C43,Rascunho!$B$3:$C$29,2,FALSE)</f>
        <v>0.17</v>
      </c>
      <c r="E43" s="14">
        <f t="shared" si="2"/>
        <v>0.05</v>
      </c>
      <c r="F43" s="15">
        <f>VLOOKUP($B43,'Tarifas e Resoluções'!$B$5:$M$44,3,FALSE)</f>
        <v>0.47894999999999999</v>
      </c>
      <c r="G43" s="16">
        <f t="shared" si="3"/>
        <v>0.60741915028535198</v>
      </c>
      <c r="H43" s="17">
        <f>IF(VLOOKUP($B43,'Tarifas e Resoluções'!$B$5:$M$44,8,FALSE)="","",VLOOKUP($B43,'Tarifas e Resoluções'!$B$5:$M$44,8,FALSE))</f>
        <v>0.51695000000000002</v>
      </c>
      <c r="I43" s="18">
        <f t="shared" si="4"/>
        <v>0.65561192136968938</v>
      </c>
      <c r="J43" s="19">
        <f t="shared" si="0"/>
        <v>7.9340223405365951E-2</v>
      </c>
      <c r="K43" s="15">
        <f>VLOOKUP($B43,'Tarifas e Resoluções'!$B$5:$M$44,5,FALSE)</f>
        <v>0.30025000000000002</v>
      </c>
      <c r="L43" s="16">
        <f t="shared" si="5"/>
        <v>0.3807863031071656</v>
      </c>
      <c r="M43" s="17">
        <f>IF(VLOOKUP($B43,'Tarifas e Resoluções'!$B$5:$M$44,10,FALSE)="","",VLOOKUP($B43,'Tarifas e Resoluções'!$B$5:$M$44,10,FALSE))</f>
        <v>0.32111000000000001</v>
      </c>
      <c r="N43" s="18">
        <f t="shared" si="6"/>
        <v>0.4072415979708307</v>
      </c>
      <c r="O43" s="19">
        <f t="shared" si="1"/>
        <v>6.947543713572002E-2</v>
      </c>
      <c r="Q43" s="20">
        <v>39</v>
      </c>
      <c r="R43" s="21" t="str">
        <f>VLOOKUP(T43,Rascunho!$M$4:$O$43,2,FALSE)</f>
        <v>Energisa AC (EAC)</v>
      </c>
      <c r="S43" s="22" t="str">
        <f>VLOOKUP(T43,Rascunho!$M$4:$O$43,3,FALSE)</f>
        <v>AC</v>
      </c>
      <c r="T43" s="23">
        <f>LARGE(Rascunho!$M$4:$M$43,39)</f>
        <v>0.20038861740856451</v>
      </c>
    </row>
    <row r="44" spans="2:20" ht="15">
      <c r="B44" s="24" t="str">
        <f>'Tarifas e Resoluções'!B44</f>
        <v>FORCEL (Pacto Energia PR)</v>
      </c>
      <c r="C44" s="25" t="s">
        <v>134</v>
      </c>
      <c r="D44" s="26">
        <f>VLOOKUP(C44,Rascunho!$B$3:$C$29,2,FALSE)</f>
        <v>0.19500000000000001</v>
      </c>
      <c r="E44" s="27">
        <f t="shared" si="2"/>
        <v>0.05</v>
      </c>
      <c r="F44" s="28">
        <f>VLOOKUP($B44,'Tarifas e Resoluções'!$B$5:$M$44,3,FALSE)</f>
        <v>0.40038000000000001</v>
      </c>
      <c r="G44" s="29">
        <f t="shared" si="3"/>
        <v>0.52354364171297818</v>
      </c>
      <c r="H44" s="30" t="str">
        <f>IF(VLOOKUP($B44,'Tarifas e Resoluções'!$B$5:$M$44,8,FALSE)="","",VLOOKUP($B44,'Tarifas e Resoluções'!$B$5:$M$44,8,FALSE))</f>
        <v/>
      </c>
      <c r="I44" s="31" t="str">
        <f t="shared" si="4"/>
        <v/>
      </c>
      <c r="J44" s="32" t="str">
        <f t="shared" si="0"/>
        <v/>
      </c>
      <c r="K44" s="28">
        <f>VLOOKUP($B44,'Tarifas e Resoluções'!$B$5:$M$44,5,FALSE)</f>
        <v>0.25286999999999998</v>
      </c>
      <c r="L44" s="29">
        <f t="shared" si="5"/>
        <v>0.33065707747629947</v>
      </c>
      <c r="M44" s="30" t="str">
        <f>IF(VLOOKUP($B44,'Tarifas e Resoluções'!$B$5:$M$44,10,FALSE)="","",VLOOKUP($B44,'Tarifas e Resoluções'!$B$5:$M$44,10,FALSE))</f>
        <v/>
      </c>
      <c r="N44" s="31" t="str">
        <f t="shared" si="6"/>
        <v/>
      </c>
      <c r="O44" s="32" t="str">
        <f t="shared" si="1"/>
        <v/>
      </c>
      <c r="Q44" s="20">
        <v>40</v>
      </c>
      <c r="R44" s="33" t="str">
        <f>VLOOKUP(T44,Rascunho!$M$4:$O$43,2,FALSE)</f>
        <v>Equatorial AP (CEA)</v>
      </c>
      <c r="S44" s="34" t="str">
        <f>VLOOKUP(T44,Rascunho!$M$4:$O$43,3,FALSE)</f>
        <v>AP</v>
      </c>
      <c r="T44" s="35">
        <f>LARGE(Rascunho!$M$4:$M$43,40)</f>
        <v>0.11824003376299083</v>
      </c>
    </row>
    <row r="47" spans="2:20">
      <c r="F47" s="36"/>
      <c r="G47" s="36"/>
    </row>
    <row r="48" spans="2:20">
      <c r="F48" s="36"/>
      <c r="G48" s="36"/>
    </row>
    <row r="51" spans="6:7">
      <c r="F51" s="36"/>
      <c r="G51" s="36"/>
    </row>
    <row r="56" spans="6:7">
      <c r="F56" s="36"/>
      <c r="G56" s="36"/>
    </row>
  </sheetData>
  <mergeCells count="15">
    <mergeCell ref="O2:O4"/>
    <mergeCell ref="R2:T3"/>
    <mergeCell ref="B2:B4"/>
    <mergeCell ref="C2:C4"/>
    <mergeCell ref="D2:D4"/>
    <mergeCell ref="E2:E4"/>
    <mergeCell ref="J2:J4"/>
    <mergeCell ref="F2:G2"/>
    <mergeCell ref="H2:I2"/>
    <mergeCell ref="K2:L2"/>
    <mergeCell ref="M2:N2"/>
    <mergeCell ref="F3:G3"/>
    <mergeCell ref="H3:I3"/>
    <mergeCell ref="K3:L3"/>
    <mergeCell ref="M3:N3"/>
  </mergeCells>
  <printOptions horizontalCentered="1" verticalCentered="1"/>
  <pageMargins left="0.196527777777778" right="0.196527777777778" top="0.196527777777778" bottom="0.196527777777778" header="0.5" footer="0.5"/>
  <pageSetup paperSize="9" fitToWidth="0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O84"/>
  <sheetViews>
    <sheetView workbookViewId="0">
      <selection activeCell="I6" sqref="I6"/>
    </sheetView>
  </sheetViews>
  <sheetFormatPr defaultColWidth="9.140625" defaultRowHeight="12.75"/>
  <cols>
    <col min="2" max="2" width="6.85546875" style="1" customWidth="1"/>
    <col min="3" max="3" width="6.28515625" style="1" customWidth="1"/>
    <col min="5" max="5" width="12.85546875" customWidth="1"/>
    <col min="6" max="6" width="26.28515625" customWidth="1"/>
    <col min="7" max="7" width="6.85546875" customWidth="1"/>
    <col min="9" max="9" width="12.85546875" customWidth="1"/>
    <col min="10" max="10" width="26.28515625" customWidth="1"/>
    <col min="11" max="11" width="6.85546875" customWidth="1"/>
    <col min="13" max="13" width="11.42578125" customWidth="1"/>
    <col min="14" max="14" width="26.28515625" customWidth="1"/>
    <col min="15" max="15" width="6.85546875" customWidth="1"/>
  </cols>
  <sheetData>
    <row r="2" spans="2:15">
      <c r="B2" s="2" t="s">
        <v>110</v>
      </c>
      <c r="C2" s="2" t="s">
        <v>111</v>
      </c>
      <c r="E2" s="115" t="s">
        <v>152</v>
      </c>
      <c r="F2" s="115"/>
      <c r="G2" s="115"/>
      <c r="I2" s="115" t="s">
        <v>153</v>
      </c>
      <c r="J2" s="115"/>
      <c r="K2" s="115"/>
      <c r="M2" s="115" t="s">
        <v>152</v>
      </c>
      <c r="N2" s="115"/>
      <c r="O2" s="115"/>
    </row>
    <row r="3" spans="2:15">
      <c r="B3" s="2" t="s">
        <v>122</v>
      </c>
      <c r="C3" s="3">
        <v>0.19</v>
      </c>
      <c r="E3" s="4" t="s">
        <v>118</v>
      </c>
      <c r="F3" s="4" t="s">
        <v>154</v>
      </c>
      <c r="G3" s="4" t="s">
        <v>110</v>
      </c>
      <c r="I3" s="4" t="s">
        <v>118</v>
      </c>
      <c r="J3" s="4" t="s">
        <v>154</v>
      </c>
      <c r="K3" s="4" t="s">
        <v>110</v>
      </c>
      <c r="M3" s="4" t="s">
        <v>118</v>
      </c>
      <c r="N3" s="4" t="s">
        <v>154</v>
      </c>
      <c r="O3" s="4" t="s">
        <v>110</v>
      </c>
    </row>
    <row r="4" spans="2:15">
      <c r="B4" s="2" t="s">
        <v>133</v>
      </c>
      <c r="C4" s="3">
        <v>0.2</v>
      </c>
      <c r="E4" s="4">
        <f>IF('Tarifas Ponta Cativo'!I5="",'Tarifas Ponta Cativo'!G5,'Tarifas Ponta Cativo'!I5)</f>
        <v>3.9139311241065622</v>
      </c>
      <c r="F4" s="4" t="s">
        <v>10</v>
      </c>
      <c r="G4" s="4" t="s">
        <v>119</v>
      </c>
      <c r="I4" s="4">
        <f>IF('Tarifas Ponta Livre'!I6="",'Tarifas Ponta Livre'!G6,'Tarifas Ponta Livre'!I6)</f>
        <v>2.1112145873944117</v>
      </c>
      <c r="J4" s="4" t="s">
        <v>10</v>
      </c>
      <c r="K4" s="4" t="s">
        <v>119</v>
      </c>
      <c r="M4" s="4">
        <f>IF('Tarifas Energia'!I5="",('Tarifas Energia'!G5*63+'Tarifas Energia'!L5*667)/730,('Tarifas Energia'!I5*63+'Tarifas Energia'!N5*667)/730)</f>
        <v>0.39383990671758035</v>
      </c>
      <c r="N4" s="4" t="s">
        <v>10</v>
      </c>
      <c r="O4" s="4" t="s">
        <v>119</v>
      </c>
    </row>
    <row r="5" spans="2:15">
      <c r="B5" s="2" t="s">
        <v>143</v>
      </c>
      <c r="C5" s="3">
        <v>0.2</v>
      </c>
      <c r="E5" s="4">
        <f>IF('Tarifas Ponta Cativo'!I6="",'Tarifas Ponta Cativo'!G6,'Tarifas Ponta Cativo'!I6)</f>
        <v>3.3906447368421047</v>
      </c>
      <c r="F5" s="4" t="s">
        <v>12</v>
      </c>
      <c r="G5" s="4" t="s">
        <v>120</v>
      </c>
      <c r="I5" s="4">
        <f>IF('Tarifas Ponta Livre'!I7="",'Tarifas Ponta Livre'!G7,'Tarifas Ponta Livre'!I7)</f>
        <v>1.7695939473684208</v>
      </c>
      <c r="J5" s="4" t="s">
        <v>12</v>
      </c>
      <c r="K5" s="4" t="s">
        <v>120</v>
      </c>
      <c r="M5" s="4">
        <f>IF('Tarifas Energia'!I6="",('Tarifas Energia'!G6*63+'Tarifas Energia'!L6*667)/730,('Tarifas Energia'!I6*63+'Tarifas Energia'!N6*667)/730)</f>
        <v>0.41147678442682051</v>
      </c>
      <c r="N5" s="4" t="s">
        <v>12</v>
      </c>
      <c r="O5" s="4" t="s">
        <v>120</v>
      </c>
    </row>
    <row r="6" spans="2:15">
      <c r="B6" s="2" t="s">
        <v>144</v>
      </c>
      <c r="C6" s="3">
        <v>0.18</v>
      </c>
      <c r="E6" s="4">
        <f>IF('Tarifas Ponta Cativo'!I7="",'Tarifas Ponta Cativo'!G7,'Tarifas Ponta Cativo'!I7)</f>
        <v>3.8668016194331982</v>
      </c>
      <c r="F6" s="4" t="s">
        <v>14</v>
      </c>
      <c r="G6" s="4" t="s">
        <v>121</v>
      </c>
      <c r="I6" s="4">
        <f>IF('Tarifas Ponta Livre'!I8="",'Tarifas Ponta Livre'!G8,'Tarifas Ponta Livre'!I8)</f>
        <v>2.1106885897435896</v>
      </c>
      <c r="J6" s="4" t="s">
        <v>14</v>
      </c>
      <c r="K6" s="4" t="s">
        <v>121</v>
      </c>
      <c r="M6" s="4">
        <f>IF('Tarifas Energia'!I7="",('Tarifas Energia'!G7*63+'Tarifas Energia'!L7*667)/730,('Tarifas Energia'!I7*63+'Tarifas Energia'!N7*667)/730)</f>
        <v>0.39537796017969057</v>
      </c>
      <c r="N6" s="4" t="s">
        <v>14</v>
      </c>
      <c r="O6" s="4" t="s">
        <v>121</v>
      </c>
    </row>
    <row r="7" spans="2:15">
      <c r="B7" s="2" t="s">
        <v>129</v>
      </c>
      <c r="C7" s="3">
        <v>0.1295</v>
      </c>
      <c r="E7" s="4">
        <f>IF('Tarifas Ponta Cativo'!I8="",'Tarifas Ponta Cativo'!G8,'Tarifas Ponta Cativo'!I8)</f>
        <v>3.9532033788174141</v>
      </c>
      <c r="F7" s="4" t="s">
        <v>16</v>
      </c>
      <c r="G7" s="4" t="s">
        <v>122</v>
      </c>
      <c r="I7" s="4">
        <f>IF('Tarifas Ponta Livre'!I9="",'Tarifas Ponta Livre'!G9,'Tarifas Ponta Livre'!I9)</f>
        <v>2.2734920230669262</v>
      </c>
      <c r="J7" s="4" t="s">
        <v>16</v>
      </c>
      <c r="K7" s="4" t="s">
        <v>122</v>
      </c>
      <c r="M7" s="4">
        <f>IF('Tarifas Energia'!I8="",('Tarifas Energia'!G8*63+'Tarifas Energia'!L8*667)/730,('Tarifas Energia'!I8*63+'Tarifas Energia'!N8*667)/730)</f>
        <v>0.20038861740856451</v>
      </c>
      <c r="N7" s="4" t="s">
        <v>16</v>
      </c>
      <c r="O7" s="4" t="s">
        <v>122</v>
      </c>
    </row>
    <row r="8" spans="2:15">
      <c r="B8" s="2" t="s">
        <v>141</v>
      </c>
      <c r="C8" s="3">
        <v>0.2</v>
      </c>
      <c r="E8" s="4">
        <f>IF('Tarifas Ponta Cativo'!I9="",'Tarifas Ponta Cativo'!G9,'Tarifas Ponta Cativo'!I9)</f>
        <v>3.8126185027786867</v>
      </c>
      <c r="F8" s="4" t="s">
        <v>18</v>
      </c>
      <c r="G8" s="4" t="s">
        <v>123</v>
      </c>
      <c r="I8" s="4">
        <f>IF('Tarifas Ponta Livre'!I10="",'Tarifas Ponta Livre'!G10,'Tarifas Ponta Livre'!I10)</f>
        <v>2.1202749150049041</v>
      </c>
      <c r="J8" s="4" t="s">
        <v>18</v>
      </c>
      <c r="K8" s="4" t="s">
        <v>123</v>
      </c>
      <c r="M8" s="4">
        <f>IF('Tarifas Energia'!I9="",('Tarifas Energia'!G9*63+'Tarifas Energia'!L9*667)/730,('Tarifas Energia'!I9*63+'Tarifas Energia'!N9*667)/730)</f>
        <v>0.28295670086472885</v>
      </c>
      <c r="N8" s="4" t="s">
        <v>18</v>
      </c>
      <c r="O8" s="4" t="s">
        <v>123</v>
      </c>
    </row>
    <row r="9" spans="2:15">
      <c r="B9" s="2" t="s">
        <v>142</v>
      </c>
      <c r="C9" s="3">
        <v>0.2</v>
      </c>
      <c r="E9" s="4">
        <f>IF('Tarifas Ponta Cativo'!I10="",'Tarifas Ponta Cativo'!G10,'Tarifas Ponta Cativo'!I10)</f>
        <v>2.1777867746288799</v>
      </c>
      <c r="F9" s="4" t="s">
        <v>20</v>
      </c>
      <c r="G9" s="4" t="s">
        <v>124</v>
      </c>
      <c r="I9" s="4">
        <f>IF('Tarifas Ponta Livre'!I11="",'Tarifas Ponta Livre'!G11,'Tarifas Ponta Livre'!I11)</f>
        <v>1.1068213832658569</v>
      </c>
      <c r="J9" s="4" t="s">
        <v>20</v>
      </c>
      <c r="K9" s="4" t="s">
        <v>124</v>
      </c>
      <c r="M9" s="4">
        <f>IF('Tarifas Energia'!I10="",('Tarifas Energia'!G10*63+'Tarifas Energia'!L10*667)/730,('Tarifas Energia'!I10*63+'Tarifas Energia'!N10*667)/730)</f>
        <v>0.40282337825596654</v>
      </c>
      <c r="N9" s="4" t="s">
        <v>20</v>
      </c>
      <c r="O9" s="4" t="s">
        <v>124</v>
      </c>
    </row>
    <row r="10" spans="2:15">
      <c r="B10" s="2" t="s">
        <v>145</v>
      </c>
      <c r="C10" s="3">
        <v>0.17</v>
      </c>
      <c r="E10" s="4">
        <f>IF('Tarifas Ponta Cativo'!I11="",'Tarifas Ponta Cativo'!G11,'Tarifas Ponta Cativo'!I11)</f>
        <v>2.9133544705136338</v>
      </c>
      <c r="F10" s="4" t="s">
        <v>24</v>
      </c>
      <c r="G10" s="4" t="s">
        <v>125</v>
      </c>
      <c r="I10" s="4">
        <f>IF('Tarifas Ponta Livre'!I12="",'Tarifas Ponta Livre'!G12,'Tarifas Ponta Livre'!I12)</f>
        <v>1.4719159543436908</v>
      </c>
      <c r="J10" s="4" t="s">
        <v>24</v>
      </c>
      <c r="K10" s="4" t="s">
        <v>125</v>
      </c>
      <c r="M10" s="4">
        <f>IF('Tarifas Energia'!I11="",('Tarifas Energia'!G11*63+'Tarifas Energia'!L11*667)/730,('Tarifas Energia'!I11*63+'Tarifas Energia'!N11*667)/730)</f>
        <v>0.38316974313982682</v>
      </c>
      <c r="N10" s="4" t="s">
        <v>24</v>
      </c>
      <c r="O10" s="4" t="s">
        <v>125</v>
      </c>
    </row>
    <row r="11" spans="2:15">
      <c r="B11" s="2" t="s">
        <v>136</v>
      </c>
      <c r="C11" s="3">
        <v>0.19</v>
      </c>
      <c r="E11" s="4">
        <f>IF('Tarifas Ponta Cativo'!I12="",'Tarifas Ponta Cativo'!G12,'Tarifas Ponta Cativo'!I12)</f>
        <v>2.2606447368421057</v>
      </c>
      <c r="F11" s="4" t="s">
        <v>27</v>
      </c>
      <c r="G11" s="4" t="s">
        <v>126</v>
      </c>
      <c r="I11" s="4">
        <f>IF('Tarifas Ponta Livre'!I13="",'Tarifas Ponta Livre'!G13,'Tarifas Ponta Livre'!I13)</f>
        <v>1.1155468421052632</v>
      </c>
      <c r="J11" s="4" t="s">
        <v>27</v>
      </c>
      <c r="K11" s="4" t="s">
        <v>126</v>
      </c>
      <c r="M11" s="4">
        <f>IF('Tarifas Energia'!I12="",('Tarifas Energia'!G12*63+'Tarifas Energia'!L12*667)/730,('Tarifas Energia'!I12*63+'Tarifas Energia'!N12*667)/730)</f>
        <v>0.34361528478731068</v>
      </c>
      <c r="N11" s="4" t="s">
        <v>27</v>
      </c>
      <c r="O11" s="4" t="s">
        <v>126</v>
      </c>
    </row>
    <row r="12" spans="2:15">
      <c r="B12" s="2" t="s">
        <v>121</v>
      </c>
      <c r="C12" s="3">
        <v>0.22</v>
      </c>
      <c r="E12" s="4">
        <f>IF('Tarifas Ponta Cativo'!I13="",'Tarifas Ponta Cativo'!G13,'Tarifas Ponta Cativo'!I13)</f>
        <v>2.7433026315789468</v>
      </c>
      <c r="F12" s="4" t="s">
        <v>29</v>
      </c>
      <c r="G12" s="4" t="s">
        <v>127</v>
      </c>
      <c r="I12" s="4">
        <f>IF('Tarifas Ponta Livre'!I14="",'Tarifas Ponta Livre'!G14,'Tarifas Ponta Livre'!I14)+0.000000000000001</f>
        <v>1.4633276315789485</v>
      </c>
      <c r="J12" s="4" t="s">
        <v>29</v>
      </c>
      <c r="K12" s="4" t="s">
        <v>127</v>
      </c>
      <c r="M12" s="4">
        <f>IF('Tarifas Energia'!I13="",('Tarifas Energia'!G13*63+'Tarifas Energia'!L13*667)/730,('Tarifas Energia'!I13*63+'Tarifas Energia'!N13*667)/730)</f>
        <v>0.30903691420331647</v>
      </c>
      <c r="N12" s="4" t="s">
        <v>29</v>
      </c>
      <c r="O12" s="4" t="s">
        <v>127</v>
      </c>
    </row>
    <row r="13" spans="2:15">
      <c r="B13" s="2" t="s">
        <v>132</v>
      </c>
      <c r="C13" s="3">
        <v>0.18</v>
      </c>
      <c r="E13" s="4">
        <f>IF('Tarifas Ponta Cativo'!I14="",'Tarifas Ponta Cativo'!G14,'Tarifas Ponta Cativo'!I14)</f>
        <v>2.073167825223436</v>
      </c>
      <c r="F13" s="4" t="s">
        <v>32</v>
      </c>
      <c r="G13" s="4" t="s">
        <v>128</v>
      </c>
      <c r="I13" s="4">
        <f>IF('Tarifas Ponta Livre'!I15="",'Tarifas Ponta Livre'!G15,'Tarifas Ponta Livre'!I15)</f>
        <v>0.99138962760675264</v>
      </c>
      <c r="J13" s="4" t="s">
        <v>32</v>
      </c>
      <c r="K13" s="4" t="s">
        <v>128</v>
      </c>
      <c r="M13" s="4">
        <f>IF('Tarifas Energia'!I14="",('Tarifas Energia'!G14*63+'Tarifas Energia'!L14*667)/730,('Tarifas Energia'!I14*63+'Tarifas Energia'!N14*667)/730)</f>
        <v>0.35884006475221392</v>
      </c>
      <c r="N13" s="4" t="s">
        <v>32</v>
      </c>
      <c r="O13" s="4" t="s">
        <v>128</v>
      </c>
    </row>
    <row r="14" spans="2:15">
      <c r="B14" s="2" t="s">
        <v>131</v>
      </c>
      <c r="C14" s="3">
        <v>0.17</v>
      </c>
      <c r="E14" s="4">
        <f>IF('Tarifas Ponta Cativo'!I15="",'Tarifas Ponta Cativo'!G15,'Tarifas Ponta Cativo'!I15)</f>
        <v>3.8685933673932102</v>
      </c>
      <c r="F14" s="4" t="s">
        <v>35</v>
      </c>
      <c r="G14" s="4" t="s">
        <v>129</v>
      </c>
      <c r="I14" s="4">
        <f>IF('Tarifas Ponta Livre'!I16="",'Tarifas Ponta Livre'!G16,'Tarifas Ponta Livre'!I16)</f>
        <v>2.0254474665195441</v>
      </c>
      <c r="J14" s="4" t="s">
        <v>35</v>
      </c>
      <c r="K14" s="4" t="s">
        <v>129</v>
      </c>
      <c r="M14" s="4">
        <f>IF('Tarifas Energia'!I15="",('Tarifas Energia'!G15*63+'Tarifas Energia'!L15*667)/730,('Tarifas Energia'!I15*63+'Tarifas Energia'!N15*667)/730)</f>
        <v>0.32475978013613743</v>
      </c>
      <c r="N14" s="4" t="s">
        <v>35</v>
      </c>
      <c r="O14" s="4" t="s">
        <v>129</v>
      </c>
    </row>
    <row r="15" spans="2:15">
      <c r="B15" s="2" t="s">
        <v>125</v>
      </c>
      <c r="C15" s="3">
        <v>0.17</v>
      </c>
      <c r="E15" s="4">
        <f>IF('Tarifas Ponta Cativo'!I16="",'Tarifas Ponta Cativo'!G16,'Tarifas Ponta Cativo'!I16)</f>
        <v>3.7444889643463495</v>
      </c>
      <c r="F15" s="4" t="s">
        <v>38</v>
      </c>
      <c r="G15" s="4" t="s">
        <v>130</v>
      </c>
      <c r="I15" s="4">
        <f>IF('Tarifas Ponta Livre'!I17="",'Tarifas Ponta Livre'!G17,'Tarifas Ponta Livre'!I17)</f>
        <v>2.0411516298811545</v>
      </c>
      <c r="J15" s="4" t="s">
        <v>38</v>
      </c>
      <c r="K15" s="4" t="s">
        <v>130</v>
      </c>
      <c r="M15" s="4">
        <f>IF('Tarifas Energia'!I16="",('Tarifas Energia'!G16*63+'Tarifas Energia'!L16*667)/730,('Tarifas Energia'!I16*63+'Tarifas Energia'!N16*667)/730)</f>
        <v>0.40354378212433428</v>
      </c>
      <c r="N15" s="4" t="s">
        <v>38</v>
      </c>
      <c r="O15" s="4" t="s">
        <v>130</v>
      </c>
    </row>
    <row r="16" spans="2:15">
      <c r="B16" s="2" t="s">
        <v>119</v>
      </c>
      <c r="C16" s="3">
        <v>0.19</v>
      </c>
      <c r="E16" s="4">
        <f>IF('Tarifas Ponta Cativo'!I17="",'Tarifas Ponta Cativo'!G17,'Tarifas Ponta Cativo'!I17)</f>
        <v>3.0203043753963228</v>
      </c>
      <c r="F16" s="4" t="s">
        <v>40</v>
      </c>
      <c r="G16" s="4" t="s">
        <v>131</v>
      </c>
      <c r="I16" s="4">
        <f>IF('Tarifas Ponta Livre'!I18="",'Tarifas Ponta Livre'!G18,'Tarifas Ponta Livre'!I18)</f>
        <v>1.543370754597337</v>
      </c>
      <c r="J16" s="4" t="s">
        <v>40</v>
      </c>
      <c r="K16" s="4" t="s">
        <v>131</v>
      </c>
      <c r="M16" s="4">
        <f>IF('Tarifas Energia'!I17="",('Tarifas Energia'!G17*63+'Tarifas Energia'!L17*667)/730,('Tarifas Energia'!I17*63+'Tarifas Energia'!N17*667)/730)</f>
        <v>0.40738414364017</v>
      </c>
      <c r="N16" s="4" t="s">
        <v>40</v>
      </c>
      <c r="O16" s="4" t="s">
        <v>131</v>
      </c>
    </row>
    <row r="17" spans="2:15">
      <c r="B17" s="2" t="s">
        <v>126</v>
      </c>
      <c r="C17" s="3">
        <v>0.2</v>
      </c>
      <c r="E17" s="4">
        <f>IF('Tarifas Ponta Cativo'!I18="",'Tarifas Ponta Cativo'!G18,'Tarifas Ponta Cativo'!I18)</f>
        <v>3.0644159178433887</v>
      </c>
      <c r="F17" s="4" t="s">
        <v>43</v>
      </c>
      <c r="G17" s="4" t="s">
        <v>132</v>
      </c>
      <c r="I17" s="4">
        <f>IF('Tarifas Ponta Livre'!I19="",'Tarifas Ponta Livre'!G19,'Tarifas Ponta Livre'!I19)</f>
        <v>1.5920761039794604</v>
      </c>
      <c r="J17" s="4" t="s">
        <v>43</v>
      </c>
      <c r="K17" s="4" t="s">
        <v>132</v>
      </c>
      <c r="M17" s="4">
        <f>IF('Tarifas Energia'!I18="",('Tarifas Energia'!G18*63+'Tarifas Energia'!L18*667)/730,('Tarifas Energia'!I18*63+'Tarifas Energia'!N18*667)/730)</f>
        <v>0.39852202507605472</v>
      </c>
      <c r="N17" s="4" t="s">
        <v>43</v>
      </c>
      <c r="O17" s="4" t="s">
        <v>132</v>
      </c>
    </row>
    <row r="18" spans="2:15">
      <c r="B18" s="2" t="s">
        <v>128</v>
      </c>
      <c r="C18" s="3">
        <v>0.20499999999999999</v>
      </c>
      <c r="E18" s="4">
        <f>IF('Tarifas Ponta Cativo'!I19="",'Tarifas Ponta Cativo'!G19,'Tarifas Ponta Cativo'!I19)</f>
        <v>2.9714868421052629</v>
      </c>
      <c r="F18" s="4" t="s">
        <v>46</v>
      </c>
      <c r="G18" s="4" t="s">
        <v>133</v>
      </c>
      <c r="I18" s="4">
        <f>IF('Tarifas Ponta Livre'!I20="",'Tarifas Ponta Livre'!G20,'Tarifas Ponta Livre'!I20)</f>
        <v>1.6156944736842105</v>
      </c>
      <c r="J18" s="4" t="s">
        <v>46</v>
      </c>
      <c r="K18" s="4" t="s">
        <v>133</v>
      </c>
      <c r="M18" s="4">
        <f>IF('Tarifas Energia'!I19="",('Tarifas Energia'!G19*63+'Tarifas Energia'!L19*667)/730,('Tarifas Energia'!I19*63+'Tarifas Energia'!N19*667)/730)</f>
        <v>0.27476283345349667</v>
      </c>
      <c r="N18" s="4" t="s">
        <v>46</v>
      </c>
      <c r="O18" s="4" t="s">
        <v>133</v>
      </c>
    </row>
    <row r="19" spans="2:15">
      <c r="B19" s="2" t="s">
        <v>130</v>
      </c>
      <c r="C19" s="3">
        <v>0.22500000000000001</v>
      </c>
      <c r="E19" s="4">
        <f>IF('Tarifas Ponta Cativo'!I20="",'Tarifas Ponta Cativo'!G20,'Tarifas Ponta Cativo'!I20)</f>
        <v>2.4122915985616218</v>
      </c>
      <c r="F19" s="4" t="s">
        <v>49</v>
      </c>
      <c r="G19" s="4" t="s">
        <v>134</v>
      </c>
      <c r="I19" s="4">
        <f>IF('Tarifas Ponta Livre'!I21="",'Tarifas Ponta Livre'!G21,'Tarifas Ponta Livre'!I21)</f>
        <v>1.1906711261850282</v>
      </c>
      <c r="J19" s="4" t="s">
        <v>49</v>
      </c>
      <c r="K19" s="4" t="s">
        <v>134</v>
      </c>
      <c r="M19" s="4">
        <f>IF('Tarifas Energia'!I20="",('Tarifas Energia'!G20*63+'Tarifas Energia'!L20*667)/730,('Tarifas Energia'!I20*63+'Tarifas Energia'!N20*667)/730)</f>
        <v>0.38387489868208347</v>
      </c>
      <c r="N19" s="4" t="s">
        <v>49</v>
      </c>
      <c r="O19" s="4" t="s">
        <v>134</v>
      </c>
    </row>
    <row r="20" spans="2:15">
      <c r="B20" s="2" t="s">
        <v>134</v>
      </c>
      <c r="C20" s="3">
        <v>0.19500000000000001</v>
      </c>
      <c r="E20" s="4">
        <f>IF('Tarifas Ponta Cativo'!I21="",'Tarifas Ponta Cativo'!G21,'Tarifas Ponta Cativo'!I21)</f>
        <v>3.0202536461636025</v>
      </c>
      <c r="F20" s="4" t="s">
        <v>51</v>
      </c>
      <c r="G20" s="4" t="s">
        <v>135</v>
      </c>
      <c r="I20" s="4">
        <f>IF('Tarifas Ponta Livre'!I22="",'Tarifas Ponta Livre'!G22,'Tarifas Ponta Livre'!I22)</f>
        <v>1.4885117279644899</v>
      </c>
      <c r="J20" s="4" t="s">
        <v>51</v>
      </c>
      <c r="K20" s="4" t="s">
        <v>135</v>
      </c>
      <c r="M20" s="4">
        <f>IF('Tarifas Energia'!I21="",('Tarifas Energia'!G21*63+'Tarifas Energia'!L21*667)/730,('Tarifas Energia'!I21*63+'Tarifas Energia'!N21*667)/730)</f>
        <v>0.45233592480954826</v>
      </c>
      <c r="N20" s="4" t="s">
        <v>51</v>
      </c>
      <c r="O20" s="4" t="s">
        <v>135</v>
      </c>
    </row>
    <row r="21" spans="2:15">
      <c r="B21" s="2" t="s">
        <v>124</v>
      </c>
      <c r="C21" s="3">
        <v>0.22</v>
      </c>
      <c r="E21" s="4">
        <f>IF('Tarifas Ponta Cativo'!I22="",'Tarifas Ponta Cativo'!G22,'Tarifas Ponta Cativo'!I22)</f>
        <v>2.7823911630929175</v>
      </c>
      <c r="F21" s="4" t="s">
        <v>53</v>
      </c>
      <c r="G21" s="4" t="s">
        <v>136</v>
      </c>
      <c r="I21" s="4">
        <f>IF('Tarifas Ponta Livre'!I23="",'Tarifas Ponta Livre'!G23,'Tarifas Ponta Livre'!I23)</f>
        <v>1.3989797108512021</v>
      </c>
      <c r="J21" s="4" t="s">
        <v>53</v>
      </c>
      <c r="K21" s="4" t="s">
        <v>136</v>
      </c>
      <c r="M21" s="4">
        <f>IF('Tarifas Energia'!I22="",('Tarifas Energia'!G22*63+'Tarifas Energia'!L22*667)/730,('Tarifas Energia'!I22*63+'Tarifas Energia'!N22*667)/730)</f>
        <v>0.41519463804106915</v>
      </c>
      <c r="N21" s="4" t="s">
        <v>53</v>
      </c>
      <c r="O21" s="4" t="s">
        <v>136</v>
      </c>
    </row>
    <row r="22" spans="2:15">
      <c r="B22" s="2" t="s">
        <v>137</v>
      </c>
      <c r="C22" s="3">
        <v>0.18</v>
      </c>
      <c r="E22" s="4">
        <f>IF('Tarifas Ponta Cativo'!I23="",'Tarifas Ponta Cativo'!G23,'Tarifas Ponta Cativo'!I23)</f>
        <v>3.2031065468549418</v>
      </c>
      <c r="F22" s="4" t="s">
        <v>55</v>
      </c>
      <c r="G22" s="4" t="s">
        <v>137</v>
      </c>
      <c r="I22" s="4">
        <f>IF('Tarifas Ponta Livre'!I24="",'Tarifas Ponta Livre'!G24,'Tarifas Ponta Livre'!I24)</f>
        <v>1.6335831193838251</v>
      </c>
      <c r="J22" s="4" t="s">
        <v>55</v>
      </c>
      <c r="K22" s="4" t="s">
        <v>137</v>
      </c>
      <c r="M22" s="4">
        <f>IF('Tarifas Energia'!I23="",('Tarifas Energia'!G23*63+'Tarifas Energia'!L23*667)/730,('Tarifas Energia'!I23*63+'Tarifas Energia'!N23*667)/730)</f>
        <v>0.38521916049730071</v>
      </c>
      <c r="N22" s="4" t="s">
        <v>55</v>
      </c>
      <c r="O22" s="4" t="s">
        <v>137</v>
      </c>
    </row>
    <row r="23" spans="2:15">
      <c r="B23" s="2" t="s">
        <v>123</v>
      </c>
      <c r="C23" s="3">
        <v>0.19500000000000001</v>
      </c>
      <c r="E23" s="4">
        <f>IF('Tarifas Ponta Cativo'!I24="",'Tarifas Ponta Cativo'!G24,'Tarifas Ponta Cativo'!I24)</f>
        <v>2.1767279644895372</v>
      </c>
      <c r="F23" s="4" t="s">
        <v>58</v>
      </c>
      <c r="G23" s="4" t="s">
        <v>138</v>
      </c>
      <c r="I23" s="4">
        <f>IF('Tarifas Ponta Livre'!I25="",'Tarifas Ponta Livre'!G25,'Tarifas Ponta Livre'!I25)</f>
        <v>0.99920581800887776</v>
      </c>
      <c r="J23" s="4" t="s">
        <v>58</v>
      </c>
      <c r="K23" s="4" t="s">
        <v>138</v>
      </c>
      <c r="M23" s="4">
        <f>IF('Tarifas Energia'!I24="",('Tarifas Energia'!G24*63+'Tarifas Energia'!L24*667)/730,('Tarifas Energia'!I24*63+'Tarifas Energia'!N24*667)/730)</f>
        <v>0.43902379235760641</v>
      </c>
      <c r="N23" s="4" t="s">
        <v>58</v>
      </c>
      <c r="O23" s="4" t="s">
        <v>138</v>
      </c>
    </row>
    <row r="24" spans="2:15">
      <c r="B24" s="2" t="s">
        <v>139</v>
      </c>
      <c r="C24" s="3">
        <v>0.2</v>
      </c>
      <c r="E24" s="4">
        <f>IF('Tarifas Ponta Cativo'!I25="",'Tarifas Ponta Cativo'!G25,'Tarifas Ponta Cativo'!I25)</f>
        <v>2.8059078947368419</v>
      </c>
      <c r="F24" s="4" t="s">
        <v>60</v>
      </c>
      <c r="G24" s="4" t="s">
        <v>139</v>
      </c>
      <c r="I24" s="4">
        <f>IF('Tarifas Ponta Livre'!I26="",'Tarifas Ponta Livre'!G26,'Tarifas Ponta Livre'!I26)</f>
        <v>1.3882360526315789</v>
      </c>
      <c r="J24" s="4" t="s">
        <v>60</v>
      </c>
      <c r="K24" s="4" t="s">
        <v>139</v>
      </c>
      <c r="M24" s="4">
        <f>IF('Tarifas Energia'!I25="",('Tarifas Energia'!G25*63+'Tarifas Energia'!L25*667)/730,('Tarifas Energia'!I25*63+'Tarifas Energia'!N25*667)/730)</f>
        <v>0.45320385724585432</v>
      </c>
      <c r="N24" s="4" t="s">
        <v>60</v>
      </c>
      <c r="O24" s="4" t="s">
        <v>139</v>
      </c>
    </row>
    <row r="25" spans="2:15">
      <c r="B25" s="2" t="s">
        <v>135</v>
      </c>
      <c r="C25" s="3">
        <v>0.17</v>
      </c>
      <c r="E25" s="4">
        <f>IF('Tarifas Ponta Cativo'!I26="",'Tarifas Ponta Cativo'!G26,'Tarifas Ponta Cativo'!I26)</f>
        <v>2.8291912708600768</v>
      </c>
      <c r="F25" s="4" t="s">
        <v>63</v>
      </c>
      <c r="G25" s="4" t="s">
        <v>140</v>
      </c>
      <c r="I25" s="4">
        <f>IF('Tarifas Ponta Livre'!I27="",'Tarifas Ponta Livre'!G27,'Tarifas Ponta Livre'!I27)</f>
        <v>1.4239402952503206</v>
      </c>
      <c r="J25" s="4" t="s">
        <v>63</v>
      </c>
      <c r="K25" s="4" t="s">
        <v>140</v>
      </c>
      <c r="M25" s="4">
        <f>IF('Tarifas Energia'!I26="",('Tarifas Energia'!G26*63+'Tarifas Energia'!L26*667)/730,('Tarifas Energia'!I26*63+'Tarifas Energia'!N26*667)/730)</f>
        <v>0.41942275836601195</v>
      </c>
      <c r="N25" s="4" t="s">
        <v>63</v>
      </c>
      <c r="O25" s="4" t="s">
        <v>140</v>
      </c>
    </row>
    <row r="26" spans="2:15">
      <c r="B26" s="2" t="s">
        <v>138</v>
      </c>
      <c r="C26" s="3">
        <v>0.17</v>
      </c>
      <c r="E26" s="4">
        <f>IF('Tarifas Ponta Cativo'!I27="",'Tarifas Ponta Cativo'!G27,'Tarifas Ponta Cativo'!I27)</f>
        <v>2.5353906505393922</v>
      </c>
      <c r="F26" s="4" t="s">
        <v>65</v>
      </c>
      <c r="G26" s="4" t="s">
        <v>134</v>
      </c>
      <c r="I26" s="4">
        <f>IF('Tarifas Ponta Livre'!I28="",'Tarifas Ponta Livre'!G28,'Tarifas Ponta Livre'!I28)</f>
        <v>1.25515344883949</v>
      </c>
      <c r="J26" s="4" t="s">
        <v>65</v>
      </c>
      <c r="K26" s="4" t="s">
        <v>134</v>
      </c>
      <c r="M26" s="4">
        <f>IF('Tarifas Energia'!I27="",('Tarifas Energia'!G27*63+'Tarifas Energia'!L27*667)/730,('Tarifas Energia'!I27*63+'Tarifas Energia'!N27*667)/730)</f>
        <v>0.40701796181937877</v>
      </c>
      <c r="N26" s="4" t="s">
        <v>65</v>
      </c>
      <c r="O26" s="4" t="s">
        <v>134</v>
      </c>
    </row>
    <row r="27" spans="2:15">
      <c r="B27" s="2" t="s">
        <v>127</v>
      </c>
      <c r="C27" s="3">
        <v>0.2</v>
      </c>
      <c r="E27" s="4">
        <f>IF('Tarifas Ponta Cativo'!I28="",'Tarifas Ponta Cativo'!G28,'Tarifas Ponta Cativo'!I28)</f>
        <v>2.0315394736842105</v>
      </c>
      <c r="F27" s="4" t="s">
        <v>67</v>
      </c>
      <c r="G27" s="4" t="s">
        <v>141</v>
      </c>
      <c r="I27" s="4">
        <f>IF('Tarifas Ponta Livre'!I29="",'Tarifas Ponta Livre'!G29,'Tarifas Ponta Livre'!I29)</f>
        <v>0.9876634210526315</v>
      </c>
      <c r="J27" s="4" t="s">
        <v>67</v>
      </c>
      <c r="K27" s="4" t="s">
        <v>141</v>
      </c>
      <c r="M27" s="4">
        <f>IF('Tarifas Energia'!I28="",('Tarifas Energia'!G28*63+'Tarifas Energia'!L28*667)/730,('Tarifas Energia'!I28*63+'Tarifas Energia'!N28*667)/730)</f>
        <v>0.34138675198269647</v>
      </c>
      <c r="N27" s="4" t="s">
        <v>67</v>
      </c>
      <c r="O27" s="4" t="s">
        <v>141</v>
      </c>
    </row>
    <row r="28" spans="2:15">
      <c r="B28" s="2" t="s">
        <v>140</v>
      </c>
      <c r="C28" s="3">
        <v>0.18</v>
      </c>
      <c r="E28" s="4">
        <f>IF('Tarifas Ponta Cativo'!I29="",'Tarifas Ponta Cativo'!G29,'Tarifas Ponta Cativo'!I29)</f>
        <v>2.8709078947368418</v>
      </c>
      <c r="F28" s="4" t="s">
        <v>70</v>
      </c>
      <c r="G28" s="4" t="s">
        <v>127</v>
      </c>
      <c r="I28" s="4">
        <f>IF('Tarifas Ponta Livre'!I30="",'Tarifas Ponta Livre'!G30,'Tarifas Ponta Livre'!I30)</f>
        <v>1.4633276315789474</v>
      </c>
      <c r="J28" s="4" t="s">
        <v>70</v>
      </c>
      <c r="K28" s="4" t="s">
        <v>127</v>
      </c>
      <c r="M28" s="4">
        <f>IF('Tarifas Energia'!I29="",('Tarifas Energia'!G29*63+'Tarifas Energia'!L29*667)/730,('Tarifas Energia'!I29*63+'Tarifas Energia'!N29*667)/730)</f>
        <v>0.37103621124729635</v>
      </c>
      <c r="N28" s="4" t="s">
        <v>70</v>
      </c>
      <c r="O28" s="4" t="s">
        <v>127</v>
      </c>
    </row>
    <row r="29" spans="2:15">
      <c r="B29" s="2" t="s">
        <v>120</v>
      </c>
      <c r="C29" s="3">
        <v>0.2</v>
      </c>
      <c r="E29" s="4">
        <f>IF('Tarifas Ponta Cativo'!I30="",'Tarifas Ponta Cativo'!G30,'Tarifas Ponta Cativo'!I30)</f>
        <v>2.7568294229549779</v>
      </c>
      <c r="F29" s="4" t="s">
        <v>73</v>
      </c>
      <c r="G29" s="4" t="s">
        <v>135</v>
      </c>
      <c r="I29" s="4">
        <f>IF('Tarifas Ponta Livre'!I31="",'Tarifas Ponta Livre'!G31,'Tarifas Ponta Livre'!I31)</f>
        <v>1.3539113157894738</v>
      </c>
      <c r="J29" s="4" t="s">
        <v>73</v>
      </c>
      <c r="K29" s="4" t="s">
        <v>135</v>
      </c>
      <c r="M29" s="4">
        <f>IF('Tarifas Energia'!I30="",('Tarifas Energia'!G30*63+'Tarifas Energia'!L30*667)/730,('Tarifas Energia'!I30*63+'Tarifas Energia'!N30*667)/730)</f>
        <v>0.42965745606796335</v>
      </c>
      <c r="N29" s="4" t="s">
        <v>73</v>
      </c>
      <c r="O29" s="4" t="s">
        <v>135</v>
      </c>
    </row>
    <row r="30" spans="2:15">
      <c r="E30" s="4">
        <f>IF('Tarifas Ponta Cativo'!I31="",'Tarifas Ponta Cativo'!G31,'Tarifas Ponta Cativo'!I31)</f>
        <v>2.2894094993581513</v>
      </c>
      <c r="F30" s="4" t="s">
        <v>75</v>
      </c>
      <c r="G30" s="4" t="s">
        <v>140</v>
      </c>
      <c r="I30" s="4">
        <f>IF('Tarifas Ponta Livre'!I32="",'Tarifas Ponta Livre'!G32,'Tarifas Ponta Livre'!I32)</f>
        <v>1.1413014184852373</v>
      </c>
      <c r="J30" s="4" t="s">
        <v>75</v>
      </c>
      <c r="K30" s="4" t="s">
        <v>140</v>
      </c>
      <c r="M30" s="4">
        <f>IF('Tarifas Energia'!I31="",('Tarifas Energia'!G31*63+'Tarifas Energia'!L31*667)/730,('Tarifas Energia'!I31*63+'Tarifas Energia'!N31*667)/730)</f>
        <v>0.36783966096330034</v>
      </c>
      <c r="N30" s="4" t="s">
        <v>75</v>
      </c>
      <c r="O30" s="4" t="s">
        <v>140</v>
      </c>
    </row>
    <row r="31" spans="2:15">
      <c r="E31" s="4">
        <f>IF('Tarifas Ponta Cativo'!I32="",'Tarifas Ponta Cativo'!G32,'Tarifas Ponta Cativo'!I32)</f>
        <v>1.8707958921694479</v>
      </c>
      <c r="F31" s="4" t="s">
        <v>78</v>
      </c>
      <c r="G31" s="4" t="s">
        <v>140</v>
      </c>
      <c r="I31" s="4">
        <f>IF('Tarifas Ponta Livre'!I33="",'Tarifas Ponta Livre'!G33,'Tarifas Ponta Livre'!I33)</f>
        <v>0.80422664313222081</v>
      </c>
      <c r="J31" s="4" t="s">
        <v>78</v>
      </c>
      <c r="K31" s="4" t="s">
        <v>140</v>
      </c>
      <c r="M31" s="4">
        <f>IF('Tarifas Energia'!I32="",('Tarifas Energia'!G32*63+'Tarifas Energia'!L32*667)/730,('Tarifas Energia'!I32*63+'Tarifas Energia'!N32*667)/730)</f>
        <v>0.43546334429458217</v>
      </c>
      <c r="N31" s="4" t="s">
        <v>78</v>
      </c>
      <c r="O31" s="4" t="s">
        <v>140</v>
      </c>
    </row>
    <row r="32" spans="2:15">
      <c r="E32" s="4">
        <f>IF('Tarifas Ponta Cativo'!I33="",'Tarifas Ponta Cativo'!G33,'Tarifas Ponta Cativo'!I33)</f>
        <v>2.3294736842105261</v>
      </c>
      <c r="F32" s="4" t="s">
        <v>80</v>
      </c>
      <c r="G32" s="4" t="s">
        <v>140</v>
      </c>
      <c r="I32" s="4">
        <f>IF('Tarifas Ponta Livre'!I34="",'Tarifas Ponta Livre'!G34,'Tarifas Ponta Livre'!I34)</f>
        <v>1.1099173170731709</v>
      </c>
      <c r="J32" s="4" t="s">
        <v>80</v>
      </c>
      <c r="K32" s="4" t="s">
        <v>140</v>
      </c>
      <c r="M32" s="4">
        <f>IF('Tarifas Energia'!I33="",('Tarifas Energia'!G33*63+'Tarifas Energia'!L33*667)/730,('Tarifas Energia'!I33*63+'Tarifas Energia'!N33*667)/730)</f>
        <v>0.41687674749854925</v>
      </c>
      <c r="N32" s="4" t="s">
        <v>80</v>
      </c>
      <c r="O32" s="4" t="s">
        <v>140</v>
      </c>
    </row>
    <row r="33" spans="5:15">
      <c r="E33" s="4">
        <f>IF('Tarifas Ponta Cativo'!I34="",'Tarifas Ponta Cativo'!G34,'Tarifas Ponta Cativo'!I34)</f>
        <v>2.0128552631578946</v>
      </c>
      <c r="F33" s="4" t="s">
        <v>82</v>
      </c>
      <c r="G33" s="4" t="s">
        <v>142</v>
      </c>
      <c r="I33" s="4">
        <f>IF('Tarifas Ponta Livre'!I35="",'Tarifas Ponta Livre'!G35,'Tarifas Ponta Livre'!I35)</f>
        <v>0.84037105263157896</v>
      </c>
      <c r="J33" s="4" t="s">
        <v>82</v>
      </c>
      <c r="K33" s="4" t="s">
        <v>142</v>
      </c>
      <c r="M33" s="4">
        <f>IF('Tarifas Energia'!I34="",('Tarifas Energia'!G34*63+'Tarifas Energia'!L34*667)/730,('Tarifas Energia'!I34*63+'Tarifas Energia'!N34*667)/730)</f>
        <v>0.52277289113193948</v>
      </c>
      <c r="N33" s="4" t="s">
        <v>82</v>
      </c>
      <c r="O33" s="4" t="s">
        <v>142</v>
      </c>
    </row>
    <row r="34" spans="5:15">
      <c r="E34" s="4">
        <f>IF('Tarifas Ponta Cativo'!I35="",'Tarifas Ponta Cativo'!G35,'Tarifas Ponta Cativo'!I35)</f>
        <v>3.437219973009447</v>
      </c>
      <c r="F34" s="4" t="s">
        <v>84</v>
      </c>
      <c r="G34" s="4" t="s">
        <v>124</v>
      </c>
      <c r="I34" s="4">
        <f>IF('Tarifas Ponta Livre'!I36="",'Tarifas Ponta Livre'!G36,'Tarifas Ponta Livre'!I36)</f>
        <v>1.859504770580297</v>
      </c>
      <c r="J34" s="4" t="s">
        <v>84</v>
      </c>
      <c r="K34" s="4" t="s">
        <v>124</v>
      </c>
      <c r="M34" s="4">
        <f>IF('Tarifas Energia'!I35="",('Tarifas Energia'!G35*63+'Tarifas Energia'!L35*667)/730,('Tarifas Energia'!I35*63+'Tarifas Energia'!N35*667)/730)</f>
        <v>0.44034180023293212</v>
      </c>
      <c r="N34" s="4" t="s">
        <v>84</v>
      </c>
      <c r="O34" s="4" t="s">
        <v>124</v>
      </c>
    </row>
    <row r="35" spans="5:15">
      <c r="E35" s="4">
        <f>IF('Tarifas Ponta Cativo'!I36="",'Tarifas Ponta Cativo'!G36,'Tarifas Ponta Cativo'!I36)</f>
        <v>1.8033761232349166</v>
      </c>
      <c r="F35" s="4" t="s">
        <v>87</v>
      </c>
      <c r="G35" s="4" t="s">
        <v>140</v>
      </c>
      <c r="I35" s="4">
        <f>IF('Tarifas Ponta Livre'!I37="",'Tarifas Ponta Livre'!G37,'Tarifas Ponta Livre'!I37)</f>
        <v>0.79819999358151472</v>
      </c>
      <c r="J35" s="4" t="s">
        <v>87</v>
      </c>
      <c r="K35" s="4" t="s">
        <v>140</v>
      </c>
      <c r="M35" s="4">
        <f>IF('Tarifas Energia'!I36="",('Tarifas Energia'!G36*63+'Tarifas Energia'!L36*667)/730,('Tarifas Energia'!I36*63+'Tarifas Energia'!N36*667)/730)</f>
        <v>0.40752355496157694</v>
      </c>
      <c r="N35" s="4" t="s">
        <v>87</v>
      </c>
      <c r="O35" s="4" t="s">
        <v>140</v>
      </c>
    </row>
    <row r="36" spans="5:15">
      <c r="E36" s="4">
        <f>IF('Tarifas Ponta Cativo'!I37="",'Tarifas Ponta Cativo'!G37,'Tarifas Ponta Cativo'!I37)</f>
        <v>2.3751447368421053</v>
      </c>
      <c r="F36" s="4" t="s">
        <v>89</v>
      </c>
      <c r="G36" s="4" t="s">
        <v>143</v>
      </c>
      <c r="I36" s="4">
        <f>IF('Tarifas Ponta Livre'!I38="",'Tarifas Ponta Livre'!G38,'Tarifas Ponta Livre'!I38)</f>
        <v>1.1347378947368423</v>
      </c>
      <c r="J36" s="4" t="s">
        <v>89</v>
      </c>
      <c r="K36" s="4" t="s">
        <v>143</v>
      </c>
      <c r="M36" s="4">
        <f>IF('Tarifas Energia'!I37="",('Tarifas Energia'!G37*63+'Tarifas Energia'!L37*667)/730,('Tarifas Energia'!I37*63+'Tarifas Energia'!N37*667)/730)</f>
        <v>0.41244050108147073</v>
      </c>
      <c r="N36" s="4" t="s">
        <v>89</v>
      </c>
      <c r="O36" s="4" t="s">
        <v>143</v>
      </c>
    </row>
    <row r="37" spans="5:15">
      <c r="E37" s="4">
        <f>IF('Tarifas Ponta Cativo'!I38="",'Tarifas Ponta Cativo'!G38,'Tarifas Ponta Cativo'!I38)</f>
        <v>2.4054942233632861</v>
      </c>
      <c r="F37" s="4" t="s">
        <v>92</v>
      </c>
      <c r="G37" s="4" t="s">
        <v>140</v>
      </c>
      <c r="I37" s="4">
        <f>IF('Tarifas Ponta Livre'!I39="",'Tarifas Ponta Livre'!G39,'Tarifas Ponta Livre'!I39)</f>
        <v>1.1552976123234915</v>
      </c>
      <c r="J37" s="4" t="s">
        <v>92</v>
      </c>
      <c r="K37" s="4" t="s">
        <v>140</v>
      </c>
      <c r="M37" s="4">
        <f>IF('Tarifas Energia'!I38="",('Tarifas Energia'!G38*63+'Tarifas Energia'!L38*667)/730,('Tarifas Energia'!I38*63+'Tarifas Energia'!N38*667)/730)</f>
        <v>0.41323254259939857</v>
      </c>
      <c r="N37" s="4" t="s">
        <v>92</v>
      </c>
      <c r="O37" s="4" t="s">
        <v>140</v>
      </c>
    </row>
    <row r="38" spans="5:15">
      <c r="E38" s="4">
        <f>IF('Tarifas Ponta Cativo'!I39="",'Tarifas Ponta Cativo'!G39,'Tarifas Ponta Cativo'!I39)</f>
        <v>4.188613607188703</v>
      </c>
      <c r="F38" s="4" t="s">
        <v>94</v>
      </c>
      <c r="G38" s="4" t="s">
        <v>144</v>
      </c>
      <c r="I38" s="4">
        <f>IF('Tarifas Ponta Livre'!I40="",'Tarifas Ponta Livre'!G40,'Tarifas Ponta Livre'!I40)</f>
        <v>2.4825867907573809</v>
      </c>
      <c r="J38" s="4" t="s">
        <v>94</v>
      </c>
      <c r="K38" s="4" t="s">
        <v>144</v>
      </c>
      <c r="M38" s="4">
        <f>IF('Tarifas Energia'!I39="",('Tarifas Energia'!G39*63+'Tarifas Energia'!L39*667)/730,('Tarifas Energia'!I39*63+'Tarifas Energia'!N39*667)/730)</f>
        <v>0.11824003376299083</v>
      </c>
      <c r="N38" s="4" t="s">
        <v>94</v>
      </c>
      <c r="O38" s="4" t="s">
        <v>144</v>
      </c>
    </row>
    <row r="39" spans="5:15">
      <c r="E39" s="4">
        <f>IF('Tarifas Ponta Cativo'!I40="",'Tarifas Ponta Cativo'!G40,'Tarifas Ponta Cativo'!I40)</f>
        <v>2.7124886289798571</v>
      </c>
      <c r="F39" s="4" t="s">
        <v>97</v>
      </c>
      <c r="G39" s="4" t="s">
        <v>136</v>
      </c>
      <c r="I39" s="4">
        <f>IF('Tarifas Ponta Livre'!I41="",'Tarifas Ponta Livre'!G41,'Tarifas Ponta Livre'!I41)+0.000000000000001</f>
        <v>1.3989797108512032</v>
      </c>
      <c r="J39" s="4" t="s">
        <v>97</v>
      </c>
      <c r="K39" s="4" t="s">
        <v>136</v>
      </c>
      <c r="M39" s="4">
        <f>IF('Tarifas Energia'!I40="",('Tarifas Energia'!G40*63+'Tarifas Energia'!L40*667)/730,('Tarifas Energia'!I40*63+'Tarifas Energia'!N40*667)/730)</f>
        <v>0.37192532065831757</v>
      </c>
      <c r="N39" s="4" t="s">
        <v>97</v>
      </c>
      <c r="O39" s="4" t="s">
        <v>136</v>
      </c>
    </row>
    <row r="40" spans="5:15">
      <c r="E40" s="4">
        <f>IF('Tarifas Ponta Cativo'!I41="",'Tarifas Ponta Cativo'!G41,'Tarifas Ponta Cativo'!I41)</f>
        <v>2.8220154043645702</v>
      </c>
      <c r="F40" s="4" t="s">
        <v>99</v>
      </c>
      <c r="G40" s="4" t="s">
        <v>140</v>
      </c>
      <c r="I40" s="4">
        <f>IF('Tarifas Ponta Livre'!I42="",'Tarifas Ponta Livre'!G42,'Tarifas Ponta Livre'!I42)</f>
        <v>1.507304922978177</v>
      </c>
      <c r="J40" s="4" t="s">
        <v>99</v>
      </c>
      <c r="K40" s="4" t="s">
        <v>140</v>
      </c>
      <c r="M40" s="4">
        <f>IF('Tarifas Energia'!I41="",('Tarifas Energia'!G41*63+'Tarifas Energia'!L41*667)/730,('Tarifas Energia'!I41*63+'Tarifas Energia'!N41*667)/730)</f>
        <v>0.31944189072748691</v>
      </c>
      <c r="N40" s="4" t="s">
        <v>99</v>
      </c>
      <c r="O40" s="4" t="s">
        <v>140</v>
      </c>
    </row>
    <row r="41" spans="5:15">
      <c r="E41" s="4">
        <f>IF('Tarifas Ponta Cativo'!I42="",'Tarifas Ponta Cativo'!G42,'Tarifas Ponta Cativo'!I42)</f>
        <v>3.2073299101412065</v>
      </c>
      <c r="F41" s="4" t="s">
        <v>103</v>
      </c>
      <c r="G41" s="4" t="s">
        <v>132</v>
      </c>
      <c r="I41" s="4">
        <f>IF('Tarifas Ponta Livre'!I43="",'Tarifas Ponta Livre'!G43,'Tarifas Ponta Livre'!I43)</f>
        <v>1.5998974261874195</v>
      </c>
      <c r="J41" s="4" t="s">
        <v>103</v>
      </c>
      <c r="K41" s="4" t="s">
        <v>132</v>
      </c>
      <c r="M41" s="4">
        <f>IF('Tarifas Energia'!I42="",('Tarifas Energia'!G42*63+'Tarifas Energia'!L42*667)/730,('Tarifas Energia'!I42*63+'Tarifas Energia'!N42*667)/730)</f>
        <v>0.46392930873793231</v>
      </c>
      <c r="N41" s="4" t="s">
        <v>103</v>
      </c>
      <c r="O41" s="4" t="s">
        <v>132</v>
      </c>
    </row>
    <row r="42" spans="5:15">
      <c r="E42" s="4">
        <f>IF('Tarifas Ponta Cativo'!I43="",'Tarifas Ponta Cativo'!G43,'Tarifas Ponta Cativo'!I43)</f>
        <v>2.4406087507926446</v>
      </c>
      <c r="F42" s="4" t="s">
        <v>106</v>
      </c>
      <c r="G42" s="4" t="s">
        <v>145</v>
      </c>
      <c r="I42" s="4">
        <f>IF('Tarifas Ponta Livre'!I44="",'Tarifas Ponta Livre'!G44,'Tarifas Ponta Livre'!I44)</f>
        <v>1.1723268294229552</v>
      </c>
      <c r="J42" s="4" t="s">
        <v>106</v>
      </c>
      <c r="K42" s="4" t="s">
        <v>145</v>
      </c>
      <c r="M42" s="4">
        <f>IF('Tarifas Energia'!I43="",('Tarifas Energia'!G43*63+'Tarifas Energia'!L43*667)/730,('Tarifas Energia'!I43*63+'Tarifas Energia'!N43*667)/730)</f>
        <v>0.42867629711347188</v>
      </c>
      <c r="N42" s="4" t="s">
        <v>106</v>
      </c>
      <c r="O42" s="4" t="s">
        <v>145</v>
      </c>
    </row>
    <row r="43" spans="5:15">
      <c r="E43" s="4">
        <f>IF('Tarifas Ponta Cativo'!I44="",'Tarifas Ponta Cativo'!G44,'Tarifas Ponta Cativo'!I44)</f>
        <v>2.2263354037267087</v>
      </c>
      <c r="F43" s="4" t="s">
        <v>108</v>
      </c>
      <c r="G43" s="4" t="s">
        <v>134</v>
      </c>
      <c r="I43" s="4">
        <f>IF('Tarifas Ponta Livre'!I45="",'Tarifas Ponta Livre'!G45,'Tarifas Ponta Livre'!I45)</f>
        <v>1.1060467620137304</v>
      </c>
      <c r="J43" s="4" t="s">
        <v>108</v>
      </c>
      <c r="K43" s="4" t="s">
        <v>134</v>
      </c>
      <c r="M43" s="4">
        <f>IF('Tarifas Energia'!I44="",('Tarifas Energia'!G44*63+'Tarifas Energia'!L44*667)/730,('Tarifas Energia'!I44*63+'Tarifas Energia'!N44*667)/730)</f>
        <v>0.34730345219809505</v>
      </c>
      <c r="N43" s="4" t="s">
        <v>108</v>
      </c>
      <c r="O43" s="4" t="s">
        <v>134</v>
      </c>
    </row>
    <row r="45" spans="5:15">
      <c r="M45">
        <v>0.52277289113193903</v>
      </c>
    </row>
    <row r="46" spans="5:15">
      <c r="M46">
        <v>0.45320385724585399</v>
      </c>
    </row>
    <row r="47" spans="5:15">
      <c r="M47">
        <v>0.44942748870170801</v>
      </c>
    </row>
    <row r="48" spans="5:15">
      <c r="M48">
        <v>0.44034180023293201</v>
      </c>
    </row>
    <row r="49" spans="13:13">
      <c r="M49">
        <v>0.435463344294582</v>
      </c>
    </row>
    <row r="50" spans="13:13">
      <c r="M50">
        <v>0.42965745606796302</v>
      </c>
    </row>
    <row r="51" spans="13:13">
      <c r="M51">
        <v>0.41687674749854903</v>
      </c>
    </row>
    <row r="52" spans="13:13">
      <c r="M52">
        <v>0.41519463804106899</v>
      </c>
    </row>
    <row r="53" spans="13:13">
      <c r="M53">
        <v>0.41244050108147101</v>
      </c>
    </row>
    <row r="54" spans="13:13">
      <c r="M54">
        <v>0.40738414364017</v>
      </c>
    </row>
    <row r="55" spans="13:13">
      <c r="M55">
        <v>0.40717002831167498</v>
      </c>
    </row>
    <row r="56" spans="13:13">
      <c r="M56">
        <v>0.40354378212433401</v>
      </c>
    </row>
    <row r="57" spans="13:13">
      <c r="M57">
        <v>0.40282337825596698</v>
      </c>
    </row>
    <row r="58" spans="13:13">
      <c r="M58">
        <v>0.40199285968676401</v>
      </c>
    </row>
    <row r="59" spans="13:13">
      <c r="M59">
        <v>0.40191140731883201</v>
      </c>
    </row>
    <row r="60" spans="13:13">
      <c r="M60">
        <v>0.40080876430970502</v>
      </c>
    </row>
    <row r="61" spans="13:13">
      <c r="M61">
        <v>0.400345028274598</v>
      </c>
    </row>
    <row r="62" spans="13:13">
      <c r="M62">
        <v>0.38521916049730098</v>
      </c>
    </row>
    <row r="63" spans="13:13">
      <c r="M63">
        <v>0.38316974313982699</v>
      </c>
    </row>
    <row r="64" spans="13:13">
      <c r="M64">
        <v>0.38045107321861299</v>
      </c>
    </row>
    <row r="65" spans="13:13">
      <c r="M65">
        <v>0.37884567319246498</v>
      </c>
    </row>
    <row r="66" spans="13:13">
      <c r="M66">
        <v>0.37799080749819802</v>
      </c>
    </row>
    <row r="67" spans="13:13">
      <c r="M67">
        <v>0.37192532065831801</v>
      </c>
    </row>
    <row r="68" spans="13:13">
      <c r="M68">
        <v>0.37103621124729602</v>
      </c>
    </row>
    <row r="69" spans="13:13">
      <c r="M69">
        <v>0.36948734767088098</v>
      </c>
    </row>
    <row r="70" spans="13:13">
      <c r="M70">
        <v>0.36851223441658398</v>
      </c>
    </row>
    <row r="71" spans="13:13">
      <c r="M71">
        <v>0.36783966096330001</v>
      </c>
    </row>
    <row r="72" spans="13:13">
      <c r="M72">
        <v>0.35884006475221403</v>
      </c>
    </row>
    <row r="73" spans="13:13">
      <c r="M73">
        <v>0.35434919639778401</v>
      </c>
    </row>
    <row r="74" spans="13:13">
      <c r="M74">
        <v>0.349038874732991</v>
      </c>
    </row>
    <row r="75" spans="13:13">
      <c r="M75">
        <v>0.347303452198095</v>
      </c>
    </row>
    <row r="76" spans="13:13">
      <c r="M76">
        <v>0.34138675198269602</v>
      </c>
    </row>
    <row r="77" spans="13:13">
      <c r="M77">
        <v>0.33535275775054102</v>
      </c>
    </row>
    <row r="78" spans="13:13">
      <c r="M78">
        <v>0.32475978013613699</v>
      </c>
    </row>
    <row r="79" spans="13:13">
      <c r="M79">
        <v>0.31944189072748702</v>
      </c>
    </row>
    <row r="80" spans="13:13">
      <c r="M80">
        <v>0.30903691420331603</v>
      </c>
    </row>
    <row r="81" spans="13:13">
      <c r="M81">
        <v>0.28295670086472902</v>
      </c>
    </row>
    <row r="82" spans="13:13">
      <c r="M82">
        <v>0.274762833453497</v>
      </c>
    </row>
    <row r="83" spans="13:13">
      <c r="M83">
        <v>0.20038861740856501</v>
      </c>
    </row>
    <row r="84" spans="13:13">
      <c r="M84">
        <v>0.118240033762991</v>
      </c>
    </row>
  </sheetData>
  <sortState xmlns:xlrd2="http://schemas.microsoft.com/office/spreadsheetml/2017/richdata2" ref="M45:M84">
    <sortCondition descending="1" ref="M45"/>
  </sortState>
  <mergeCells count="3">
    <mergeCell ref="E2:G2"/>
    <mergeCell ref="I2:K2"/>
    <mergeCell ref="M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C41"/>
  <sheetViews>
    <sheetView workbookViewId="0">
      <selection activeCell="C23" sqref="C23"/>
    </sheetView>
  </sheetViews>
  <sheetFormatPr defaultColWidth="9.140625" defaultRowHeight="12.75"/>
  <cols>
    <col min="3" max="3" width="12.85546875"/>
  </cols>
  <sheetData>
    <row r="2" spans="3:3">
      <c r="C2">
        <v>0.67714481837052398</v>
      </c>
    </row>
    <row r="3" spans="3:3">
      <c r="C3">
        <v>0.75596638297872398</v>
      </c>
    </row>
    <row r="4" spans="3:3">
      <c r="C4">
        <v>0.833320256875973</v>
      </c>
    </row>
    <row r="5" spans="3:3">
      <c r="C5">
        <v>0.83358918995129505</v>
      </c>
    </row>
    <row r="6" spans="3:3">
      <c r="C6">
        <v>0.89084117549887698</v>
      </c>
    </row>
    <row r="7" spans="3:3">
      <c r="C7">
        <v>0.96871919045147903</v>
      </c>
    </row>
    <row r="8" spans="3:3">
      <c r="C8">
        <v>1.0059075586470301</v>
      </c>
    </row>
    <row r="9" spans="3:3">
      <c r="C9">
        <v>1.0091895744680901</v>
      </c>
    </row>
    <row r="10" spans="3:3">
      <c r="C10">
        <v>1.04136218405537</v>
      </c>
    </row>
    <row r="11" spans="3:3">
      <c r="C11">
        <v>1.0732791489361699</v>
      </c>
    </row>
    <row r="12" spans="3:3">
      <c r="C12">
        <v>1.07403032952776</v>
      </c>
    </row>
    <row r="13" spans="3:3">
      <c r="C13">
        <v>1.0742704407294801</v>
      </c>
    </row>
    <row r="14" spans="3:3">
      <c r="C14">
        <v>1.0788340425531899</v>
      </c>
    </row>
    <row r="15" spans="3:3">
      <c r="C15">
        <v>1.0893489447601401</v>
      </c>
    </row>
    <row r="16" spans="3:3">
      <c r="C16">
        <v>1.0903430824300799</v>
      </c>
    </row>
    <row r="17" spans="3:3">
      <c r="C17">
        <v>1.09984173673417</v>
      </c>
    </row>
    <row r="18" spans="3:3">
      <c r="C18">
        <v>1.1001222340425501</v>
      </c>
    </row>
    <row r="19" spans="3:3">
      <c r="C19">
        <v>1.1125247067981301</v>
      </c>
    </row>
    <row r="20" spans="3:3">
      <c r="C20">
        <v>1.2160739154125599</v>
      </c>
    </row>
    <row r="21" spans="3:3">
      <c r="C21">
        <v>1.3256287785183301</v>
      </c>
    </row>
    <row r="22" spans="3:3">
      <c r="C22">
        <v>1.40484257369905</v>
      </c>
    </row>
    <row r="23" spans="3:3">
      <c r="C23">
        <v>1.4205472800105099</v>
      </c>
    </row>
    <row r="24" spans="3:3">
      <c r="C24">
        <v>1.4205472800105099</v>
      </c>
    </row>
    <row r="25" spans="3:3">
      <c r="C25">
        <v>1.45554287234043</v>
      </c>
    </row>
    <row r="26" spans="3:3">
      <c r="C26">
        <v>1.45554287234043</v>
      </c>
    </row>
    <row r="27" spans="3:3">
      <c r="C27">
        <v>1.4798532491668801</v>
      </c>
    </row>
    <row r="28" spans="3:3">
      <c r="C28">
        <v>1.51906716658018</v>
      </c>
    </row>
    <row r="29" spans="3:3">
      <c r="C29">
        <v>1.53508465230929</v>
      </c>
    </row>
    <row r="30" spans="3:3">
      <c r="C30">
        <v>1.5829119927348201</v>
      </c>
    </row>
    <row r="31" spans="3:3">
      <c r="C31">
        <v>1.5976649999999999</v>
      </c>
    </row>
    <row r="32" spans="3:3">
      <c r="C32">
        <v>1.74580415166394</v>
      </c>
    </row>
    <row r="33" spans="3:3">
      <c r="C33">
        <v>1.75427063961124</v>
      </c>
    </row>
    <row r="34" spans="3:3">
      <c r="C34">
        <v>1.7760348313440599</v>
      </c>
    </row>
    <row r="35" spans="3:3">
      <c r="C35">
        <v>1.82202985066737</v>
      </c>
    </row>
    <row r="36" spans="3:3">
      <c r="C36">
        <v>1.84829184397163</v>
      </c>
    </row>
    <row r="37" spans="3:3">
      <c r="C37">
        <v>1.9003243617021299</v>
      </c>
    </row>
    <row r="38" spans="3:3">
      <c r="C38">
        <v>1.9174120160871799</v>
      </c>
    </row>
    <row r="39" spans="3:3">
      <c r="C39">
        <v>1.9320050632911401</v>
      </c>
    </row>
    <row r="40" spans="3:3">
      <c r="C40">
        <v>1.98305308308993</v>
      </c>
    </row>
    <row r="41" spans="3:3">
      <c r="C41">
        <v>2.2434460375623901</v>
      </c>
    </row>
  </sheetData>
  <sortState xmlns:xlrd2="http://schemas.microsoft.com/office/spreadsheetml/2017/richdata2" ref="C2:C41">
    <sortCondition ref="C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Tarifas e Resoluções</vt:lpstr>
      <vt:lpstr>Perfil dos Reajustes</vt:lpstr>
      <vt:lpstr>Tarifas Ponta Cativo</vt:lpstr>
      <vt:lpstr>Tarifas Ponta Livre</vt:lpstr>
      <vt:lpstr>Tarifas Energia</vt:lpstr>
      <vt:lpstr>Rascunho</vt:lpstr>
      <vt:lpstr>Planilha6</vt:lpstr>
      <vt:lpstr>'Tarifas Energia'!Area_de_impressao</vt:lpstr>
      <vt:lpstr>'Tarifas Ponta Cativo'!Area_de_impressao</vt:lpstr>
      <vt:lpstr>'Tarifas Ponta Livre'!Area_de_impressao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henrique.soares</dc:creator>
  <cp:lastModifiedBy>Luciano | BRG Geradores</cp:lastModifiedBy>
  <cp:lastPrinted>2026-04-13T16:51:00Z</cp:lastPrinted>
  <dcterms:created xsi:type="dcterms:W3CDTF">2025-06-09T16:37:00Z</dcterms:created>
  <dcterms:modified xsi:type="dcterms:W3CDTF">2026-09-22T16:54:05Z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E8EED78522E740BC8CD83527540A96E3_13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